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قائمة الأسعار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<sst xmlns="http://schemas.openxmlformats.org/spreadsheetml/2006/main" count="71" uniqueCount="63">
  <si>
    <t xml:space="preserve">قائمة أسعار رونزا – بيوتي هيلث للصناعات المتطورة – لفارما سيز – 10-2026</t>
  </si>
  <si>
    <t xml:space="preserve">نسبة هامش الصيدلي فوق سعر الوكيل</t>
  </si>
  <si>
    <t xml:space="preserve">(المصدر: الشيت الأصلي – سعر الصيدلي = سعر الوكيل × 1.25). الخانات الزرقاء مدخلات.</t>
  </si>
  <si>
    <t xml:space="preserve">م</t>
  </si>
  <si>
    <t xml:space="preserve">الباركود</t>
  </si>
  <si>
    <t xml:space="preserve">الفئة</t>
  </si>
  <si>
    <t xml:space="preserve">اسم الصنف (عربي)</t>
  </si>
  <si>
    <t xml:space="preserve">اسم الصنف (إنجليزي)</t>
  </si>
  <si>
    <t xml:space="preserve">التعبئة بالكرتونة</t>
  </si>
  <si>
    <t xml:space="preserve">سعر الوكيل (قبل الضريبة)</t>
  </si>
  <si>
    <t xml:space="preserve">سعر الصيدلي (قبل الضريبة)</t>
  </si>
  <si>
    <t xml:space="preserve">سعر الجمهور (شامل الضريبة)</t>
  </si>
  <si>
    <t xml:space="preserve">إجمالي كرتونة الوكيل</t>
  </si>
  <si>
    <t xml:space="preserve">إجمالي كرتونة الصيدلي</t>
  </si>
  <si>
    <t xml:space="preserve">6223014540711</t>
  </si>
  <si>
    <t xml:space="preserve">أطفال</t>
  </si>
  <si>
    <t xml:space="preserve">رونزا مناديل مبللة – حديثي الولادة والبشرة الحساسة – بغطاء</t>
  </si>
  <si>
    <t xml:space="preserve">Ronza Wet Wipes – Pure Wipes – 54 pcs</t>
  </si>
  <si>
    <t xml:space="preserve">6223014540094</t>
  </si>
  <si>
    <t xml:space="preserve">عروض</t>
  </si>
  <si>
    <t xml:space="preserve">عرض: 2 قطعة رونزا 120 منديل (مشكل)</t>
  </si>
  <si>
    <t xml:space="preserve">Special offer – 2 × Ronza 120 wipes (assorted)</t>
  </si>
  <si>
    <t xml:space="preserve">6223014540100</t>
  </si>
  <si>
    <t xml:space="preserve">عرض: 3 قطع رونزا 72 منديل (مشكل)</t>
  </si>
  <si>
    <t xml:space="preserve">Special offer – 3 × Ronza 72 wipes (assorted)</t>
  </si>
  <si>
    <t xml:space="preserve">6225000249967</t>
  </si>
  <si>
    <t xml:space="preserve">رونزا أطفال (ولد) – بغطاء – 120 منديل</t>
  </si>
  <si>
    <t xml:space="preserve">Ronza Baby Boy – 120 wipes</t>
  </si>
  <si>
    <t xml:space="preserve">6225000249950</t>
  </si>
  <si>
    <t xml:space="preserve">رونزا أطفال (بنت) – بغطاء – 120 منديل</t>
  </si>
  <si>
    <t xml:space="preserve">Ronza Baby Girl – 120 wipes</t>
  </si>
  <si>
    <t xml:space="preserve">6224009893515</t>
  </si>
  <si>
    <t xml:space="preserve">عائلة</t>
  </si>
  <si>
    <t xml:space="preserve">رونزا عائلة لافندر – بغطاء – 120 منديل</t>
  </si>
  <si>
    <t xml:space="preserve">Ronza Family Lavender – 120 wipes</t>
  </si>
  <si>
    <t xml:space="preserve">6223014540995</t>
  </si>
  <si>
    <t xml:space="preserve">رونزا مناديل مبللة – أطفال (ولد) – 72 منديل</t>
  </si>
  <si>
    <t xml:space="preserve">Ronza Baby Boy – 72 wipes</t>
  </si>
  <si>
    <t xml:space="preserve">6223014541008</t>
  </si>
  <si>
    <t xml:space="preserve">رونزا مناديل مبللة – أطفال (بنت) – 72 منديل</t>
  </si>
  <si>
    <t xml:space="preserve">Ronza Baby Girl – 72 wipes</t>
  </si>
  <si>
    <t xml:space="preserve">6224009893225</t>
  </si>
  <si>
    <t xml:space="preserve">رونزا لافندر – بغطاء – 72 منديل</t>
  </si>
  <si>
    <t xml:space="preserve">Ronza Lavender – 72 wipes</t>
  </si>
  <si>
    <t xml:space="preserve">6225000249943</t>
  </si>
  <si>
    <t xml:space="preserve">رونزا عائلة (أزرق – فرش) – بغطاء – 72 منديل</t>
  </si>
  <si>
    <t xml:space="preserve">Ronza Family Colors – 72 wipes</t>
  </si>
  <si>
    <t xml:space="preserve">6223014540537</t>
  </si>
  <si>
    <t xml:space="preserve">مزيل مكياج</t>
  </si>
  <si>
    <t xml:space="preserve">رونزا مزيل مكياج بماء الورد – 25 منديل</t>
  </si>
  <si>
    <t xml:space="preserve">Ronza Make-up Remover – Rose Water – 25 wipes</t>
  </si>
  <si>
    <t xml:space="preserve">6223014540520</t>
  </si>
  <si>
    <t xml:space="preserve">رونزا مزيل مكياج بالصبار – 25 منديل</t>
  </si>
  <si>
    <t xml:space="preserve">Ronza Make-up Remover – Aloe Vera – 25 wipes</t>
  </si>
  <si>
    <t xml:space="preserve">6224009893409</t>
  </si>
  <si>
    <t xml:space="preserve">جيب</t>
  </si>
  <si>
    <t xml:space="preserve">رونزا جيب مشكل – 15 منديل</t>
  </si>
  <si>
    <t xml:space="preserve">Ronza Pocket Assorted – 15 wipes</t>
  </si>
  <si>
    <t xml:space="preserve">6223014540810</t>
  </si>
  <si>
    <t xml:space="preserve">فوط منعشة</t>
  </si>
  <si>
    <t xml:space="preserve">فوطة نعناع منعشة 24×24 – للقطعة الواحدة</t>
  </si>
  <si>
    <t xml:space="preserve">Ronza Refreshing Towel – Natural Peppermint Oil</t>
  </si>
  <si>
    <t xml:space="preserve">ملاحظات: التعبئة بالكرتونة للأصناف 11 و12 هي 72 قطعة (6 ستاند)، وللصنف 13 هي 288 قطعة (8 ستاند). العرضان 2 و3 مشكّلان من أي صنف.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</si>
</sst>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@"/>
    <numFmt numFmtId="167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B2A6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2A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5" min="4" style="0" width="46"/>
    <col collapsed="false" customWidth="true" hidden="false" outlineLevel="0" max="6" min="6" style="0" width="12"/>
    <col collapsed="false" customWidth="true" hidden="false" outlineLevel="0" max="11" min="7" style="0" width="14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3" t="n">
        <v>0.25</v>
      </c>
      <c r="E2" s="4" t="s">
        <v>2</v>
      </c>
      <c r="F2" s="4"/>
      <c r="G2" s="4"/>
      <c r="H2" s="4"/>
      <c r="I2" s="4"/>
      <c r="J2" s="4"/>
      <c r="K2" s="4"/>
    </row>
    <row r="4" customFormat="false" ht="33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customFormat="false" ht="15" hidden="false" customHeight="false" outlineLevel="0" collapsed="false">
      <c r="A5" s="6" t="n">
        <v>1</v>
      </c>
      <c r="B5" s="7" t="s">
        <v>14</v>
      </c>
      <c r="C5" s="6" t="s">
        <v>15</v>
      </c>
      <c r="D5" s="8" t="s">
        <v>16</v>
      </c>
      <c r="E5" s="8" t="s">
        <v>17</v>
      </c>
      <c r="F5" s="9" t="n">
        <v>28</v>
      </c>
      <c r="G5" s="10" t="n">
        <v>19.2</v>
      </c>
      <c r="H5" s="11" t="n">
        <f aca="false">ROUND(G5*(1+$D$2),2)</f>
        <v>24</v>
      </c>
      <c r="I5" s="10" t="n">
        <v>35</v>
      </c>
      <c r="J5" s="11" t="n">
        <f aca="false">ROUND(G5*F5,2)</f>
        <v>537.6</v>
      </c>
      <c r="K5" s="11" t="n">
        <f aca="false">ROUND(H5*F5,2)</f>
        <v>672</v>
      </c>
    </row>
    <row r="6" customFormat="false" ht="15" hidden="false" customHeight="false" outlineLevel="0" collapsed="false">
      <c r="A6" s="6" t="n">
        <v>2</v>
      </c>
      <c r="B6" s="7" t="s">
        <v>18</v>
      </c>
      <c r="C6" s="6" t="s">
        <v>19</v>
      </c>
      <c r="D6" s="8" t="s">
        <v>20</v>
      </c>
      <c r="E6" s="8" t="s">
        <v>21</v>
      </c>
      <c r="F6" s="9" t="n">
        <v>6</v>
      </c>
      <c r="G6" s="10" t="n">
        <v>50.55</v>
      </c>
      <c r="H6" s="11" t="n">
        <f aca="false">ROUND(G6*(1+$D$2),2)</f>
        <v>63.19</v>
      </c>
      <c r="I6" s="10" t="n">
        <v>90</v>
      </c>
      <c r="J6" s="11" t="n">
        <f aca="false">ROUND(G6*F6,2)</f>
        <v>303.3</v>
      </c>
      <c r="K6" s="11" t="n">
        <f aca="false">ROUND(H6*F6,2)</f>
        <v>379.14</v>
      </c>
    </row>
    <row r="7" customFormat="false" ht="15" hidden="false" customHeight="false" outlineLevel="0" collapsed="false">
      <c r="A7" s="6" t="n">
        <v>3</v>
      </c>
      <c r="B7" s="7" t="s">
        <v>22</v>
      </c>
      <c r="C7" s="6" t="s">
        <v>19</v>
      </c>
      <c r="D7" s="8" t="s">
        <v>23</v>
      </c>
      <c r="E7" s="8" t="s">
        <v>24</v>
      </c>
      <c r="F7" s="9" t="n">
        <v>8</v>
      </c>
      <c r="G7" s="10" t="n">
        <v>50.55</v>
      </c>
      <c r="H7" s="11" t="n">
        <f aca="false">ROUND(G7*(1+$D$2),2)</f>
        <v>63.19</v>
      </c>
      <c r="I7" s="10" t="n">
        <v>90</v>
      </c>
      <c r="J7" s="11" t="n">
        <f aca="false">ROUND(G7*F7,2)</f>
        <v>404.4</v>
      </c>
      <c r="K7" s="11" t="n">
        <f aca="false">ROUND(H7*F7,2)</f>
        <v>505.52</v>
      </c>
    </row>
    <row r="8" customFormat="false" ht="15" hidden="false" customHeight="false" outlineLevel="0" collapsed="false">
      <c r="A8" s="6" t="n">
        <v>4</v>
      </c>
      <c r="B8" s="7" t="s">
        <v>25</v>
      </c>
      <c r="C8" s="6" t="s">
        <v>15</v>
      </c>
      <c r="D8" s="8" t="s">
        <v>26</v>
      </c>
      <c r="E8" s="8" t="s">
        <v>27</v>
      </c>
      <c r="F8" s="9" t="n">
        <v>12</v>
      </c>
      <c r="G8" s="10" t="n">
        <v>28.5</v>
      </c>
      <c r="H8" s="11" t="n">
        <f aca="false">ROUND(G8*(1+$D$2),2)</f>
        <v>35.63</v>
      </c>
      <c r="I8" s="10" t="n">
        <v>51</v>
      </c>
      <c r="J8" s="11" t="n">
        <f aca="false">ROUND(G8*F8,2)</f>
        <v>342</v>
      </c>
      <c r="K8" s="11" t="n">
        <f aca="false">ROUND(H8*F8,2)</f>
        <v>427.56</v>
      </c>
    </row>
    <row r="9" customFormat="false" ht="15" hidden="false" customHeight="false" outlineLevel="0" collapsed="false">
      <c r="A9" s="6" t="n">
        <v>5</v>
      </c>
      <c r="B9" s="7" t="s">
        <v>28</v>
      </c>
      <c r="C9" s="6" t="s">
        <v>15</v>
      </c>
      <c r="D9" s="8" t="s">
        <v>29</v>
      </c>
      <c r="E9" s="8" t="s">
        <v>30</v>
      </c>
      <c r="F9" s="9" t="n">
        <v>12</v>
      </c>
      <c r="G9" s="10" t="n">
        <v>28.5</v>
      </c>
      <c r="H9" s="11" t="n">
        <f aca="false">ROUND(G9*(1+$D$2),2)</f>
        <v>35.63</v>
      </c>
      <c r="I9" s="10" t="n">
        <v>51</v>
      </c>
      <c r="J9" s="11" t="n">
        <f aca="false">ROUND(G9*F9,2)</f>
        <v>342</v>
      </c>
      <c r="K9" s="11" t="n">
        <f aca="false">ROUND(H9*F9,2)</f>
        <v>427.56</v>
      </c>
    </row>
    <row r="10" customFormat="false" ht="15" hidden="false" customHeight="false" outlineLevel="0" collapsed="false">
      <c r="A10" s="6" t="n">
        <v>6</v>
      </c>
      <c r="B10" s="7" t="s">
        <v>31</v>
      </c>
      <c r="C10" s="6" t="s">
        <v>32</v>
      </c>
      <c r="D10" s="8" t="s">
        <v>33</v>
      </c>
      <c r="E10" s="8" t="s">
        <v>34</v>
      </c>
      <c r="F10" s="9" t="n">
        <v>12</v>
      </c>
      <c r="G10" s="10" t="n">
        <v>28.5</v>
      </c>
      <c r="H10" s="11" t="n">
        <f aca="false">ROUND(G10*(1+$D$2),2)</f>
        <v>35.63</v>
      </c>
      <c r="I10" s="10" t="n">
        <v>51</v>
      </c>
      <c r="J10" s="11" t="n">
        <f aca="false">ROUND(G10*F10,2)</f>
        <v>342</v>
      </c>
      <c r="K10" s="11" t="n">
        <f aca="false">ROUND(H10*F10,2)</f>
        <v>427.56</v>
      </c>
    </row>
    <row r="11" customFormat="false" ht="15" hidden="false" customHeight="false" outlineLevel="0" collapsed="false">
      <c r="A11" s="6" t="n">
        <v>7</v>
      </c>
      <c r="B11" s="7" t="s">
        <v>35</v>
      </c>
      <c r="C11" s="6" t="s">
        <v>15</v>
      </c>
      <c r="D11" s="8" t="s">
        <v>36</v>
      </c>
      <c r="E11" s="8" t="s">
        <v>37</v>
      </c>
      <c r="F11" s="9" t="n">
        <v>24</v>
      </c>
      <c r="G11" s="10" t="n">
        <v>18.5</v>
      </c>
      <c r="H11" s="11" t="n">
        <f aca="false">ROUND(G11*(1+$D$2),2)</f>
        <v>23.13</v>
      </c>
      <c r="I11" s="10" t="n">
        <v>33</v>
      </c>
      <c r="J11" s="11" t="n">
        <f aca="false">ROUND(G11*F11,2)</f>
        <v>444</v>
      </c>
      <c r="K11" s="11" t="n">
        <f aca="false">ROUND(H11*F11,2)</f>
        <v>555.12</v>
      </c>
    </row>
    <row r="12" customFormat="false" ht="15" hidden="false" customHeight="false" outlineLevel="0" collapsed="false">
      <c r="A12" s="6" t="n">
        <v>8</v>
      </c>
      <c r="B12" s="7" t="s">
        <v>38</v>
      </c>
      <c r="C12" s="6" t="s">
        <v>15</v>
      </c>
      <c r="D12" s="8" t="s">
        <v>39</v>
      </c>
      <c r="E12" s="8" t="s">
        <v>40</v>
      </c>
      <c r="F12" s="9" t="n">
        <v>24</v>
      </c>
      <c r="G12" s="10" t="n">
        <v>18.5</v>
      </c>
      <c r="H12" s="11" t="n">
        <f aca="false">ROUND(G12*(1+$D$2),2)</f>
        <v>23.13</v>
      </c>
      <c r="I12" s="10" t="n">
        <v>33</v>
      </c>
      <c r="J12" s="11" t="n">
        <f aca="false">ROUND(G12*F12,2)</f>
        <v>444</v>
      </c>
      <c r="K12" s="11" t="n">
        <f aca="false">ROUND(H12*F12,2)</f>
        <v>555.12</v>
      </c>
    </row>
    <row r="13" customFormat="false" ht="15" hidden="false" customHeight="false" outlineLevel="0" collapsed="false">
      <c r="A13" s="6" t="n">
        <v>9</v>
      </c>
      <c r="B13" s="7" t="s">
        <v>41</v>
      </c>
      <c r="C13" s="6" t="s">
        <v>32</v>
      </c>
      <c r="D13" s="8" t="s">
        <v>42</v>
      </c>
      <c r="E13" s="8" t="s">
        <v>43</v>
      </c>
      <c r="F13" s="9" t="n">
        <v>24</v>
      </c>
      <c r="G13" s="10" t="n">
        <v>18.5</v>
      </c>
      <c r="H13" s="11" t="n">
        <f aca="false">ROUND(G13*(1+$D$2),2)</f>
        <v>23.13</v>
      </c>
      <c r="I13" s="10" t="n">
        <v>33</v>
      </c>
      <c r="J13" s="11" t="n">
        <f aca="false">ROUND(G13*F13,2)</f>
        <v>444</v>
      </c>
      <c r="K13" s="11" t="n">
        <f aca="false">ROUND(H13*F13,2)</f>
        <v>555.12</v>
      </c>
    </row>
    <row r="14" customFormat="false" ht="15" hidden="false" customHeight="false" outlineLevel="0" collapsed="false">
      <c r="A14" s="6" t="n">
        <v>10</v>
      </c>
      <c r="B14" s="7" t="s">
        <v>44</v>
      </c>
      <c r="C14" s="6" t="s">
        <v>32</v>
      </c>
      <c r="D14" s="8" t="s">
        <v>45</v>
      </c>
      <c r="E14" s="8" t="s">
        <v>46</v>
      </c>
      <c r="F14" s="9" t="n">
        <v>24</v>
      </c>
      <c r="G14" s="10" t="n">
        <v>18.5</v>
      </c>
      <c r="H14" s="11" t="n">
        <f aca="false">ROUND(G14*(1+$D$2),2)</f>
        <v>23.13</v>
      </c>
      <c r="I14" s="10" t="n">
        <v>33</v>
      </c>
      <c r="J14" s="11" t="n">
        <f aca="false">ROUND(G14*F14,2)</f>
        <v>444</v>
      </c>
      <c r="K14" s="11" t="n">
        <f aca="false">ROUND(H14*F14,2)</f>
        <v>555.12</v>
      </c>
    </row>
    <row r="15" customFormat="false" ht="15" hidden="false" customHeight="false" outlineLevel="0" collapsed="false">
      <c r="A15" s="6" t="n">
        <v>11</v>
      </c>
      <c r="B15" s="7" t="s">
        <v>47</v>
      </c>
      <c r="C15" s="6" t="s">
        <v>48</v>
      </c>
      <c r="D15" s="8" t="s">
        <v>49</v>
      </c>
      <c r="E15" s="8" t="s">
        <v>50</v>
      </c>
      <c r="F15" s="9" t="n">
        <v>72</v>
      </c>
      <c r="G15" s="10" t="n">
        <v>12.75</v>
      </c>
      <c r="H15" s="11" t="n">
        <f aca="false">ROUND(G15*(1+$D$2),2)</f>
        <v>15.94</v>
      </c>
      <c r="I15" s="10" t="n">
        <v>23</v>
      </c>
      <c r="J15" s="11" t="n">
        <f aca="false">ROUND(G15*F15,2)</f>
        <v>918</v>
      </c>
      <c r="K15" s="11" t="n">
        <f aca="false">ROUND(H15*F15,2)</f>
        <v>1147.68</v>
      </c>
    </row>
    <row r="16" customFormat="false" ht="15" hidden="false" customHeight="false" outlineLevel="0" collapsed="false">
      <c r="A16" s="6" t="n">
        <v>12</v>
      </c>
      <c r="B16" s="7" t="s">
        <v>51</v>
      </c>
      <c r="C16" s="6" t="s">
        <v>48</v>
      </c>
      <c r="D16" s="8" t="s">
        <v>52</v>
      </c>
      <c r="E16" s="8" t="s">
        <v>53</v>
      </c>
      <c r="F16" s="9" t="n">
        <v>72</v>
      </c>
      <c r="G16" s="10" t="n">
        <v>12.75</v>
      </c>
      <c r="H16" s="11" t="n">
        <f aca="false">ROUND(G16*(1+$D$2),2)</f>
        <v>15.94</v>
      </c>
      <c r="I16" s="10" t="n">
        <v>23</v>
      </c>
      <c r="J16" s="11" t="n">
        <f aca="false">ROUND(G16*F16,2)</f>
        <v>918</v>
      </c>
      <c r="K16" s="11" t="n">
        <f aca="false">ROUND(H16*F16,2)</f>
        <v>1147.68</v>
      </c>
    </row>
    <row r="17" customFormat="false" ht="15" hidden="false" customHeight="false" outlineLevel="0" collapsed="false">
      <c r="A17" s="6" t="n">
        <v>13</v>
      </c>
      <c r="B17" s="7" t="s">
        <v>54</v>
      </c>
      <c r="C17" s="6" t="s">
        <v>55</v>
      </c>
      <c r="D17" s="8" t="s">
        <v>56</v>
      </c>
      <c r="E17" s="8" t="s">
        <v>57</v>
      </c>
      <c r="F17" s="9" t="n">
        <v>288</v>
      </c>
      <c r="G17" s="10" t="n">
        <v>4.88</v>
      </c>
      <c r="H17" s="11" t="n">
        <f aca="false">ROUND(G17*(1+$D$2),2)</f>
        <v>6.1</v>
      </c>
      <c r="I17" s="10" t="n">
        <v>9</v>
      </c>
      <c r="J17" s="11" t="n">
        <f aca="false">ROUND(G17*F17,2)</f>
        <v>1405.44</v>
      </c>
      <c r="K17" s="11" t="n">
        <f aca="false">ROUND(H17*F17,2)</f>
        <v>1756.8</v>
      </c>
    </row>
    <row r="18" customFormat="false" ht="15" hidden="false" customHeight="false" outlineLevel="0" collapsed="false">
      <c r="A18" s="6" t="n">
        <v>14</v>
      </c>
      <c r="B18" s="7" t="s">
        <v>58</v>
      </c>
      <c r="C18" s="6" t="s">
        <v>59</v>
      </c>
      <c r="D18" s="8" t="s">
        <v>60</v>
      </c>
      <c r="E18" s="8" t="s">
        <v>61</v>
      </c>
      <c r="F18" s="9" t="n">
        <v>576</v>
      </c>
      <c r="G18" s="10" t="n">
        <v>2.38</v>
      </c>
      <c r="H18" s="11" t="n">
        <f aca="false">ROUND(G18*(1+$D$2),2)</f>
        <v>2.98</v>
      </c>
      <c r="I18" s="10" t="n">
        <v>4.5</v>
      </c>
      <c r="J18" s="11" t="n">
        <f aca="false">ROUND(G18*F18,2)</f>
        <v>1370.88</v>
      </c>
      <c r="K18" s="11" t="n">
        <f aca="false">ROUND(H18*F18,2)</f>
        <v>1716.48</v>
      </c>
    </row>
    <row r="20" customFormat="false" ht="11.9" hidden="false" customHeight="false" outlineLevel="0" collapsed="false">
      <c r="A20" s="4" t="s">
        <v>62</v>
      </c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mergeCells count="4">
    <mergeCell ref="A1:K1"/>
    <mergeCell ref="A2:C2"/>
    <mergeCell ref="E2:K2"/>
    <mergeCell ref="A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2026-10-10T21:38:29Z</dcterms:created>
  <dc:creator>openpyxl</dc:creator>
  <dc:description/>
  <dc:language>en-US</dc:language>
  <cp:lastModifiedBy/>
  <dcterms:modified xsi:type="dcterms:W3CDTF">2026-10-10T21:38:29Z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