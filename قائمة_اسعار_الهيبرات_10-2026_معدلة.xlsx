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قائمة أسعار الهيبرات" sheetId="1" state="visible" r:id="rId3"/>
  </sheets>
  <definedNames>
    <definedName function="false" hidden="true" localSheetId="0" name="_xlnm._FilterDatabase" vbProcedure="false">'قائمة أسعار الهيبرات'!$A$5:$L$67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<sst xmlns="http://schemas.openxmlformats.org/spreadsheetml/2006/main" count="265" uniqueCount="154">
  <si>
    <t xml:space="preserve">قائمة أسعار الهيبرات – بيوتي هيلث للصناعات المتطورة – 10-2026</t>
  </si>
  <si>
    <t xml:space="preserve">نسبة الضريبة</t>
  </si>
  <si>
    <t xml:space="preserve">(مستنتجة من الشيت الأصلي: بعد الضريبة = قبل × 1.14، والمستهلك = بعد الضريبة × 1.15). الخانات الزرقاء مدخلات.</t>
  </si>
  <si>
    <t xml:space="preserve">هامش سعر المستهلك فوق سعر القطعة بعد الضريبة</t>
  </si>
  <si>
    <t xml:space="preserve">م</t>
  </si>
  <si>
    <t xml:space="preserve">الباركود</t>
  </si>
  <si>
    <t xml:space="preserve">العلامة</t>
  </si>
  <si>
    <t xml:space="preserve">الفئة</t>
  </si>
  <si>
    <t xml:space="preserve">اسم الصنف</t>
  </si>
  <si>
    <t xml:space="preserve">العدد بالكرتونة</t>
  </si>
  <si>
    <t xml:space="preserve">سعر الكرتونة قبل الضريبة</t>
  </si>
  <si>
    <t xml:space="preserve">سعر القطعة قبل الضريبة</t>
  </si>
  <si>
    <t xml:space="preserve">سعر الكرتونة بعد الضريبة</t>
  </si>
  <si>
    <t xml:space="preserve">سعر القطعة بعد الضريبة</t>
  </si>
  <si>
    <t xml:space="preserve">سعر المستهلك</t>
  </si>
  <si>
    <t xml:space="preserve">ملاحظات</t>
  </si>
  <si>
    <t xml:space="preserve">6223014540711</t>
  </si>
  <si>
    <t xml:space="preserve">رونزا</t>
  </si>
  <si>
    <t xml:space="preserve">مناديل مبللة</t>
  </si>
  <si>
    <t xml:space="preserve">رونزا حديثى الولاده و البشره الحساسه اطفال غطاء عدد 54 - 28 بالكرتونة</t>
  </si>
  <si>
    <t xml:space="preserve">6223014540094</t>
  </si>
  <si>
    <t xml:space="preserve">عروض</t>
  </si>
  <si>
    <t xml:space="preserve">عرض 2 قطعة رونزا 120 منديل</t>
  </si>
  <si>
    <t xml:space="preserve">6223014540100</t>
  </si>
  <si>
    <t xml:space="preserve">عرض 3 قطعه رونزا 72 منديل</t>
  </si>
  <si>
    <t xml:space="preserve">6223014540117</t>
  </si>
  <si>
    <t xml:space="preserve">عرض 3 قطعه رونزا حمايه 40 منديل</t>
  </si>
  <si>
    <t xml:space="preserve">6223014540124</t>
  </si>
  <si>
    <t xml:space="preserve">عرض 3 قطعه رونزا مزيل مكياج 25 منديل</t>
  </si>
  <si>
    <t xml:space="preserve">6223014540254</t>
  </si>
  <si>
    <t xml:space="preserve">عرض 4 قطعه رونزا جيب 15 منديل</t>
  </si>
  <si>
    <t xml:space="preserve">6223014540131</t>
  </si>
  <si>
    <t xml:space="preserve">عرض 2 قطعه رونزا معطر جو مشكل</t>
  </si>
  <si>
    <t xml:space="preserve">6223014540148</t>
  </si>
  <si>
    <t xml:space="preserve">عرض 2 قطعه رونزا فوطه مطبخ</t>
  </si>
  <si>
    <t xml:space="preserve">6223014540162</t>
  </si>
  <si>
    <t xml:space="preserve">يونو</t>
  </si>
  <si>
    <t xml:space="preserve">عرض (1 قطعه 120 +1 قطعه 72 ) يونو منديل</t>
  </si>
  <si>
    <t xml:space="preserve">6223014540186</t>
  </si>
  <si>
    <t xml:space="preserve">عرض التوفير ( 3 قطعه 20 منديل حمايه )</t>
  </si>
  <si>
    <t xml:space="preserve">6223014540193</t>
  </si>
  <si>
    <t xml:space="preserve">عرض العيله( 2 رول مطبخ رونزا 20 شيت )</t>
  </si>
  <si>
    <t xml:space="preserve">6225000249967</t>
  </si>
  <si>
    <t xml:space="preserve">رونزا اطفال ولد غطاء عدد 120 - 12 بالكرتونة</t>
  </si>
  <si>
    <t xml:space="preserve">6224009893515</t>
  </si>
  <si>
    <t xml:space="preserve">رونزا عائلة لافندر عدد 120 - 12 بالكرتونة</t>
  </si>
  <si>
    <t xml:space="preserve">6225000249950</t>
  </si>
  <si>
    <t xml:space="preserve">رونزا اطفال بنت غطاء عدد 120 - 12 بالكرتونة</t>
  </si>
  <si>
    <t xml:space="preserve">6223014540995</t>
  </si>
  <si>
    <t xml:space="preserve">رونزا مناديل مبللة - اطفال ولد - 72 منديل - 1 قطعه</t>
  </si>
  <si>
    <t xml:space="preserve">6223014541008</t>
  </si>
  <si>
    <t xml:space="preserve">رونزا مناديل مبللة - اطفال بنت - 72 منديل - 1 قطعه</t>
  </si>
  <si>
    <t xml:space="preserve">6224009893225</t>
  </si>
  <si>
    <t xml:space="preserve">رونزا لافندر غطاء عدد 72 - 24 بالكرتونة</t>
  </si>
  <si>
    <t xml:space="preserve">6225000249943</t>
  </si>
  <si>
    <t xml:space="preserve">رونزا (عائلة -ازرق - فرش )غطاء عدد 72 - 24 بالكرتونة</t>
  </si>
  <si>
    <t xml:space="preserve">6224009893256</t>
  </si>
  <si>
    <t xml:space="preserve">حماية</t>
  </si>
  <si>
    <t xml:space="preserve">رونزا حماية اكيدة -ديتول _ عدد 40 - 36 بالكرتونة</t>
  </si>
  <si>
    <t xml:space="preserve">6224009893249</t>
  </si>
  <si>
    <t xml:space="preserve">رونزا حماية مزدوجة - عدد 20 - 50 بالكرتونة</t>
  </si>
  <si>
    <t xml:space="preserve">6223014540537</t>
  </si>
  <si>
    <t xml:space="preserve">مزيل مكياج</t>
  </si>
  <si>
    <t xml:space="preserve">رونزا مزيل مكياج ماء الورد _عدد25-72بالكرتونة-6ستاند</t>
  </si>
  <si>
    <t xml:space="preserve">6223014540520</t>
  </si>
  <si>
    <t xml:space="preserve">رونزا مزيل مكياج الوفيرا _عدد25-72بالكرتونة-6ستاند</t>
  </si>
  <si>
    <t xml:space="preserve">6224009893409</t>
  </si>
  <si>
    <t xml:space="preserve">جيب</t>
  </si>
  <si>
    <t xml:space="preserve">رونزا جيب مشكل عدد 15 - 288 بالكرتونة- 8 ستاند</t>
  </si>
  <si>
    <t xml:space="preserve">6224009893096</t>
  </si>
  <si>
    <t xml:space="preserve">معطرات جو</t>
  </si>
  <si>
    <t xml:space="preserve">رونزا معطر جو توت 460 مل - 6 بالكرتونة</t>
  </si>
  <si>
    <t xml:space="preserve">6224009893102</t>
  </si>
  <si>
    <t xml:space="preserve">رونزا معطر جو عود 460 مل - 6 بالكرتونة</t>
  </si>
  <si>
    <t xml:space="preserve">6224009893089</t>
  </si>
  <si>
    <t xml:space="preserve">رونزا معطر جو لافندر 460 مل - 6 بالكرتونة</t>
  </si>
  <si>
    <t xml:space="preserve">6224009893072</t>
  </si>
  <si>
    <t xml:space="preserve">رونزا معطر جو خوخ 460 مل - 6 بالكرتونة</t>
  </si>
  <si>
    <t xml:space="preserve">6224009893065</t>
  </si>
  <si>
    <t xml:space="preserve">رونزا معطر جو زهور 460 مل - 6 بالكرتونة</t>
  </si>
  <si>
    <t xml:space="preserve">6224009893058</t>
  </si>
  <si>
    <t xml:space="preserve">رونزا معطر جو تفاح وقرفة 460 مل - 6 بالكرتونة</t>
  </si>
  <si>
    <t xml:space="preserve">6224009893270</t>
  </si>
  <si>
    <t xml:space="preserve">رونزا معطر جو بللى بلو 460 مل - 6 بالكرتونة</t>
  </si>
  <si>
    <t xml:space="preserve">6224009893294</t>
  </si>
  <si>
    <t xml:space="preserve">رونزا معطر جو بهجه 460 مل - 6 بالكرتونة</t>
  </si>
  <si>
    <t xml:space="preserve">6224009893287</t>
  </si>
  <si>
    <t xml:space="preserve">رونزا معطر جو بلاك ايس 460 مل - 6 بالكرتونة</t>
  </si>
  <si>
    <t xml:space="preserve">6224009893775</t>
  </si>
  <si>
    <t xml:space="preserve">رونزا معطر جو الياسمين 460 مل - 6 بالكرتونة</t>
  </si>
  <si>
    <t xml:space="preserve">6224009893782</t>
  </si>
  <si>
    <t xml:space="preserve">رونزا معطر جو الفانيليا 460 مل - 6 بالكرتونة</t>
  </si>
  <si>
    <t xml:space="preserve">6224009893911</t>
  </si>
  <si>
    <t xml:space="preserve">رونزا معطر جو بابيا 460 مل - 6 بالكرتونة</t>
  </si>
  <si>
    <t xml:space="preserve">6224009893928</t>
  </si>
  <si>
    <t xml:space="preserve">رونزا معطر جو فل 460 مل - 6 بالكرتونة</t>
  </si>
  <si>
    <t xml:space="preserve">6223014540353</t>
  </si>
  <si>
    <t xml:space="preserve">معطرات أرضيات</t>
  </si>
  <si>
    <t xml:space="preserve">رونزا معطر ارضيات - خوخ 1000 مل - 6 بالكرتونة</t>
  </si>
  <si>
    <t xml:space="preserve">6223014540384</t>
  </si>
  <si>
    <t xml:space="preserve">رونزا معطر ارضيات امواج البحر - 1000 مل - 6 بالكر</t>
  </si>
  <si>
    <t xml:space="preserve">6223014540407</t>
  </si>
  <si>
    <t xml:space="preserve">رونزا معطر ارضيات - بللى بلو 1000 مل - 6 بالكرتونة</t>
  </si>
  <si>
    <t xml:space="preserve">6223014540421</t>
  </si>
  <si>
    <t xml:space="preserve">رونزا معطر ارضيات- زهور 1000 مل - 6 بالكرتونة</t>
  </si>
  <si>
    <t xml:space="preserve">622301450360</t>
  </si>
  <si>
    <t xml:space="preserve">رونزا معطر ارضيات - خوخ 250 مل - 12 بالكرتونة</t>
  </si>
  <si>
    <t xml:space="preserve">الباركود 12 رقم – راجعه</t>
  </si>
  <si>
    <t xml:space="preserve">6223014540377</t>
  </si>
  <si>
    <t xml:space="preserve">رونزا معطر ارضيات امواج البحر - 250 مل - 12بالكرت</t>
  </si>
  <si>
    <t xml:space="preserve">6223014540391</t>
  </si>
  <si>
    <t xml:space="preserve">رونزا معطر ارضيات - بللى بلو 250 مل - 12بالكرتونة</t>
  </si>
  <si>
    <t xml:space="preserve">6223014540414</t>
  </si>
  <si>
    <t xml:space="preserve">رونزا معطر ارضيات- زهور 250 مل - 12 بالكرتونة</t>
  </si>
  <si>
    <t xml:space="preserve">6224009893133</t>
  </si>
  <si>
    <t xml:space="preserve">مطبخ وتنظيف</t>
  </si>
  <si>
    <t xml:space="preserve">رونزا فوط مطبخ 3 قطع - 24 كيس * 3ق بالكرتونة</t>
  </si>
  <si>
    <t xml:space="preserve">6224009893140</t>
  </si>
  <si>
    <t xml:space="preserve">رونزا رول مطبخ 20 قطعة - 18 رول بالكرتونة</t>
  </si>
  <si>
    <t xml:space="preserve">6223014540179</t>
  </si>
  <si>
    <t xml:space="preserve">رونزا رول قماش تنظيف بدون وبره 20 قطعه</t>
  </si>
  <si>
    <t xml:space="preserve">6223014540933</t>
  </si>
  <si>
    <t xml:space="preserve">يونو مناديل مبللة - اطفال بمبي - 120 منديل 1 قطعه</t>
  </si>
  <si>
    <t xml:space="preserve">6223014540940</t>
  </si>
  <si>
    <t xml:space="preserve">يونو مناديل مبللة - اطفال ازرق - 120 منديل 1 قطعه</t>
  </si>
  <si>
    <t xml:space="preserve">6225000249998</t>
  </si>
  <si>
    <t xml:space="preserve">يونو ورد اسود عدد 120 -١٢ ق/ك</t>
  </si>
  <si>
    <t xml:space="preserve">6223014540957</t>
  </si>
  <si>
    <t xml:space="preserve">يونو اخضر غطاء عدد 120 - 12 بالكرتونة</t>
  </si>
  <si>
    <t xml:space="preserve">6224009893904</t>
  </si>
  <si>
    <t xml:space="preserve">يونو لافندر عدد 120 -١٢ ق/ك</t>
  </si>
  <si>
    <t xml:space="preserve">6223014540971</t>
  </si>
  <si>
    <t xml:space="preserve">يونو مناديل مبللة - اطفال بمبي - 72 منديل - 1 قطعه</t>
  </si>
  <si>
    <t xml:space="preserve">6223014540988</t>
  </si>
  <si>
    <t xml:space="preserve">يونو مناديل مبللة - اطفال ازرق - 72 منديل - 1 قطعه</t>
  </si>
  <si>
    <t xml:space="preserve">6223014540964</t>
  </si>
  <si>
    <t xml:space="preserve">يونو مناديل مبللة - عائلي ليمون - 72 منديل - 1 قطعه</t>
  </si>
  <si>
    <t xml:space="preserve">6225000300835</t>
  </si>
  <si>
    <t xml:space="preserve">عائلة ورد اسود عدد 72 - ٢٤ ق/ك</t>
  </si>
  <si>
    <t xml:space="preserve">6225000300866</t>
  </si>
  <si>
    <t xml:space="preserve">يونو -ليمون ب غطاء عدد 40 -36 بالكرتونة</t>
  </si>
  <si>
    <t xml:space="preserve">6223014540896</t>
  </si>
  <si>
    <t xml:space="preserve">يونو جيب مشكل عدد 10 - 288 بالكرتونة- 6 ستاند</t>
  </si>
  <si>
    <t xml:space="preserve">6223014540827</t>
  </si>
  <si>
    <t xml:space="preserve">أحذية</t>
  </si>
  <si>
    <t xml:space="preserve">منديل منظف وملمع للأحذية</t>
  </si>
  <si>
    <t xml:space="preserve">6223014540810</t>
  </si>
  <si>
    <t xml:space="preserve">فوط منعشة</t>
  </si>
  <si>
    <t xml:space="preserve">فوطة نعناع منعشة 24*24 للقطعه الواحده</t>
  </si>
  <si>
    <t xml:space="preserve">6223014540926</t>
  </si>
  <si>
    <t xml:space="preserve">فوطة نعناع منعشة 1*24 للشرنك</t>
  </si>
  <si>
    <t xml:space="preserve">6223014540858</t>
  </si>
  <si>
    <t xml:space="preserve">منظفات</t>
  </si>
  <si>
    <t xml:space="preserve">يونو منظف أطباق - ليمون أخضر - 650 غرام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</si>
</sst>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@"/>
    <numFmt numFmtId="167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B2A6E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CE4"/>
      </left>
      <right style="thin">
        <color rgb="FFD5DCE4"/>
      </right>
      <top style="thin">
        <color rgb="FFD5DCE4"/>
      </top>
      <bottom style="thin">
        <color rgb="FFD5D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B2A6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5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B2A6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7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7"/>
    <col collapsed="false" customWidth="true" hidden="false" outlineLevel="0" max="3" min="3" style="0" width="9"/>
    <col collapsed="false" customWidth="true" hidden="false" outlineLevel="0" max="4" min="4" style="0" width="14"/>
    <col collapsed="false" customWidth="true" hidden="false" outlineLevel="0" max="5" min="5" style="0" width="52"/>
    <col collapsed="false" customWidth="true" hidden="false" outlineLevel="0" max="6" min="6" style="0" width="10"/>
    <col collapsed="false" customWidth="true" hidden="false" outlineLevel="0" max="10" min="7" style="0" width="15"/>
    <col collapsed="false" customWidth="true" hidden="false" outlineLevel="0" max="11" min="11" style="0" width="14"/>
    <col collapsed="false" customWidth="true" hidden="false" outlineLevel="0" max="12" min="12" style="0" width="28"/>
  </cols>
  <sheetData>
    <row r="1" customFormat="false" ht="17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3" t="n">
        <v>0.14</v>
      </c>
      <c r="E2" s="4" t="s">
        <v>2</v>
      </c>
      <c r="F2" s="4"/>
      <c r="G2" s="4"/>
      <c r="H2" s="4"/>
      <c r="I2" s="4"/>
      <c r="J2" s="4"/>
      <c r="K2" s="4"/>
      <c r="L2" s="4"/>
    </row>
    <row r="3" customFormat="false" ht="15" hidden="false" customHeight="false" outlineLevel="0" collapsed="false">
      <c r="A3" s="2" t="s">
        <v>3</v>
      </c>
      <c r="B3" s="2"/>
      <c r="C3" s="2"/>
      <c r="D3" s="3" t="n">
        <v>0.15</v>
      </c>
    </row>
    <row r="5" customFormat="false" ht="33.75" hidden="false" customHeight="true" outlineLevel="0" collapsed="false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5" t="s">
        <v>14</v>
      </c>
      <c r="L5" s="5" t="s">
        <v>15</v>
      </c>
    </row>
    <row r="6" customFormat="false" ht="15" hidden="false" customHeight="false" outlineLevel="0" collapsed="false">
      <c r="A6" s="6" t="n">
        <v>1</v>
      </c>
      <c r="B6" s="7" t="s">
        <v>16</v>
      </c>
      <c r="C6" s="6" t="s">
        <v>17</v>
      </c>
      <c r="D6" s="6" t="s">
        <v>18</v>
      </c>
      <c r="E6" s="8" t="s">
        <v>19</v>
      </c>
      <c r="F6" s="9" t="n">
        <v>28</v>
      </c>
      <c r="G6" s="10" t="n">
        <v>675</v>
      </c>
      <c r="H6" s="11" t="n">
        <f aca="false">ROUND(G6/F6,2)</f>
        <v>24.11</v>
      </c>
      <c r="I6" s="11" t="n">
        <f aca="false">ROUND(G6*(1+$D$2),2)</f>
        <v>769.5</v>
      </c>
      <c r="J6" s="11" t="n">
        <f aca="false">ROUND(G6*(1+$D$2)/F6,2)</f>
        <v>27.48</v>
      </c>
      <c r="K6" s="11" t="n">
        <f aca="false">ROUND(G6*(1+$D$2)/F6*(1+$D$3),2)</f>
        <v>31.6</v>
      </c>
      <c r="L6" s="12"/>
    </row>
    <row r="7" customFormat="false" ht="15" hidden="false" customHeight="false" outlineLevel="0" collapsed="false">
      <c r="A7" s="6" t="n">
        <v>2</v>
      </c>
      <c r="B7" s="7" t="s">
        <v>20</v>
      </c>
      <c r="C7" s="6" t="s">
        <v>17</v>
      </c>
      <c r="D7" s="6" t="s">
        <v>21</v>
      </c>
      <c r="E7" s="8" t="s">
        <v>22</v>
      </c>
      <c r="F7" s="9" t="n">
        <v>6</v>
      </c>
      <c r="G7" s="10" t="n">
        <v>364.8</v>
      </c>
      <c r="H7" s="11" t="n">
        <f aca="false">ROUND(G7/F7,2)</f>
        <v>60.8</v>
      </c>
      <c r="I7" s="11" t="n">
        <f aca="false">ROUND(G7*(1+$D$2),2)</f>
        <v>415.87</v>
      </c>
      <c r="J7" s="11" t="n">
        <f aca="false">ROUND(G7*(1+$D$2)/F7,2)</f>
        <v>69.31</v>
      </c>
      <c r="K7" s="11" t="n">
        <f aca="false">ROUND(G7*(1+$D$2)/F7*(1+$D$3),2)</f>
        <v>79.71</v>
      </c>
      <c r="L7" s="12"/>
    </row>
    <row r="8" customFormat="false" ht="15" hidden="false" customHeight="false" outlineLevel="0" collapsed="false">
      <c r="A8" s="6" t="n">
        <v>3</v>
      </c>
      <c r="B8" s="7" t="s">
        <v>23</v>
      </c>
      <c r="C8" s="6" t="s">
        <v>17</v>
      </c>
      <c r="D8" s="6" t="s">
        <v>21</v>
      </c>
      <c r="E8" s="8" t="s">
        <v>24</v>
      </c>
      <c r="F8" s="9" t="n">
        <v>8</v>
      </c>
      <c r="G8" s="10" t="n">
        <v>528</v>
      </c>
      <c r="H8" s="11" t="n">
        <f aca="false">ROUND(G8/F8,2)</f>
        <v>66</v>
      </c>
      <c r="I8" s="11" t="n">
        <f aca="false">ROUND(G8*(1+$D$2),2)</f>
        <v>601.92</v>
      </c>
      <c r="J8" s="11" t="n">
        <f aca="false">ROUND(G8*(1+$D$2)/F8,2)</f>
        <v>75.24</v>
      </c>
      <c r="K8" s="11" t="n">
        <f aca="false">ROUND(G8*(1+$D$2)/F8*(1+$D$3),2)</f>
        <v>86.53</v>
      </c>
      <c r="L8" s="12"/>
    </row>
    <row r="9" customFormat="false" ht="15" hidden="false" customHeight="false" outlineLevel="0" collapsed="false">
      <c r="A9" s="6" t="n">
        <v>4</v>
      </c>
      <c r="B9" s="7" t="s">
        <v>25</v>
      </c>
      <c r="C9" s="6" t="s">
        <v>17</v>
      </c>
      <c r="D9" s="6" t="s">
        <v>21</v>
      </c>
      <c r="E9" s="8" t="s">
        <v>26</v>
      </c>
      <c r="F9" s="9" t="n">
        <v>12</v>
      </c>
      <c r="G9" s="10" t="n">
        <v>470</v>
      </c>
      <c r="H9" s="11" t="n">
        <f aca="false">ROUND(G9/F9,2)</f>
        <v>39.17</v>
      </c>
      <c r="I9" s="11" t="n">
        <f aca="false">ROUND(G9*(1+$D$2),2)</f>
        <v>535.8</v>
      </c>
      <c r="J9" s="11" t="n">
        <f aca="false">ROUND(G9*(1+$D$2)/F9,2)</f>
        <v>44.65</v>
      </c>
      <c r="K9" s="11" t="n">
        <f aca="false">ROUND(G9*(1+$D$2)/F9*(1+$D$3),2)</f>
        <v>51.35</v>
      </c>
      <c r="L9" s="12"/>
    </row>
    <row r="10" customFormat="false" ht="15" hidden="false" customHeight="false" outlineLevel="0" collapsed="false">
      <c r="A10" s="6" t="n">
        <v>5</v>
      </c>
      <c r="B10" s="7" t="s">
        <v>27</v>
      </c>
      <c r="C10" s="6" t="s">
        <v>17</v>
      </c>
      <c r="D10" s="6" t="s">
        <v>21</v>
      </c>
      <c r="E10" s="8" t="s">
        <v>28</v>
      </c>
      <c r="F10" s="9" t="n">
        <v>24</v>
      </c>
      <c r="G10" s="10" t="n">
        <v>974.7</v>
      </c>
      <c r="H10" s="11" t="n">
        <f aca="false">ROUND(G10/F10,2)</f>
        <v>40.61</v>
      </c>
      <c r="I10" s="11" t="n">
        <f aca="false">ROUND(G10*(1+$D$2),2)</f>
        <v>1111.16</v>
      </c>
      <c r="J10" s="11" t="n">
        <f aca="false">ROUND(G10*(1+$D$2)/F10,2)</f>
        <v>46.3</v>
      </c>
      <c r="K10" s="11" t="n">
        <f aca="false">ROUND(G10*(1+$D$2)/F10*(1+$D$3),2)</f>
        <v>53.24</v>
      </c>
      <c r="L10" s="12"/>
    </row>
    <row r="11" customFormat="false" ht="15" hidden="false" customHeight="false" outlineLevel="0" collapsed="false">
      <c r="A11" s="6" t="n">
        <v>6</v>
      </c>
      <c r="B11" s="7" t="s">
        <v>29</v>
      </c>
      <c r="C11" s="6" t="s">
        <v>17</v>
      </c>
      <c r="D11" s="6" t="s">
        <v>21</v>
      </c>
      <c r="E11" s="8" t="s">
        <v>30</v>
      </c>
      <c r="F11" s="9" t="n">
        <v>72</v>
      </c>
      <c r="G11" s="10" t="n">
        <v>1429.56</v>
      </c>
      <c r="H11" s="11" t="n">
        <f aca="false">ROUND(G11/F11,2)</f>
        <v>19.86</v>
      </c>
      <c r="I11" s="11" t="n">
        <f aca="false">ROUND(G11*(1+$D$2),2)</f>
        <v>1629.7</v>
      </c>
      <c r="J11" s="11" t="n">
        <f aca="false">ROUND(G11*(1+$D$2)/F11,2)</f>
        <v>22.63</v>
      </c>
      <c r="K11" s="11" t="n">
        <f aca="false">ROUND(G11*(1+$D$2)/F11*(1+$D$3),2)</f>
        <v>26.03</v>
      </c>
      <c r="L11" s="12"/>
    </row>
    <row r="12" customFormat="false" ht="15" hidden="false" customHeight="false" outlineLevel="0" collapsed="false">
      <c r="A12" s="6" t="n">
        <v>7</v>
      </c>
      <c r="B12" s="7" t="s">
        <v>31</v>
      </c>
      <c r="C12" s="6" t="s">
        <v>17</v>
      </c>
      <c r="D12" s="6" t="s">
        <v>21</v>
      </c>
      <c r="E12" s="8" t="s">
        <v>32</v>
      </c>
      <c r="F12" s="9" t="n">
        <v>3</v>
      </c>
      <c r="G12" s="10" t="n">
        <v>295</v>
      </c>
      <c r="H12" s="11" t="n">
        <f aca="false">ROUND(G12/F12,2)</f>
        <v>98.33</v>
      </c>
      <c r="I12" s="11" t="n">
        <f aca="false">ROUND(G12*(1+$D$2),2)</f>
        <v>336.3</v>
      </c>
      <c r="J12" s="11" t="n">
        <f aca="false">ROUND(G12*(1+$D$2)/F12,2)</f>
        <v>112.1</v>
      </c>
      <c r="K12" s="11" t="n">
        <f aca="false">ROUND(G12*(1+$D$2)/F12*(1+$D$3),2)</f>
        <v>128.92</v>
      </c>
      <c r="L12" s="12"/>
    </row>
    <row r="13" customFormat="false" ht="15" hidden="false" customHeight="false" outlineLevel="0" collapsed="false">
      <c r="A13" s="6" t="n">
        <v>8</v>
      </c>
      <c r="B13" s="7" t="s">
        <v>33</v>
      </c>
      <c r="C13" s="6" t="s">
        <v>17</v>
      </c>
      <c r="D13" s="6" t="s">
        <v>21</v>
      </c>
      <c r="E13" s="8" t="s">
        <v>34</v>
      </c>
      <c r="F13" s="9" t="n">
        <v>12</v>
      </c>
      <c r="G13" s="10" t="n">
        <v>800</v>
      </c>
      <c r="H13" s="11" t="n">
        <f aca="false">ROUND(G13/F13,2)</f>
        <v>66.67</v>
      </c>
      <c r="I13" s="11" t="n">
        <f aca="false">ROUND(G13*(1+$D$2),2)</f>
        <v>912</v>
      </c>
      <c r="J13" s="11" t="n">
        <f aca="false">ROUND(G13*(1+$D$2)/F13,2)</f>
        <v>76</v>
      </c>
      <c r="K13" s="11" t="n">
        <f aca="false">ROUND(G13*(1+$D$2)/F13*(1+$D$3),2)</f>
        <v>87.4</v>
      </c>
      <c r="L13" s="12"/>
    </row>
    <row r="14" customFormat="false" ht="15" hidden="false" customHeight="false" outlineLevel="0" collapsed="false">
      <c r="A14" s="6" t="n">
        <v>9</v>
      </c>
      <c r="B14" s="7" t="s">
        <v>35</v>
      </c>
      <c r="C14" s="6" t="s">
        <v>36</v>
      </c>
      <c r="D14" s="6" t="s">
        <v>21</v>
      </c>
      <c r="E14" s="8" t="s">
        <v>37</v>
      </c>
      <c r="F14" s="9" t="n">
        <v>6</v>
      </c>
      <c r="G14" s="10" t="n">
        <v>312</v>
      </c>
      <c r="H14" s="11" t="n">
        <f aca="false">ROUND(G14/F14,2)</f>
        <v>52</v>
      </c>
      <c r="I14" s="11" t="n">
        <f aca="false">ROUND(G14*(1+$D$2),2)</f>
        <v>355.68</v>
      </c>
      <c r="J14" s="11" t="n">
        <f aca="false">ROUND(G14*(1+$D$2)/F14,2)</f>
        <v>59.28</v>
      </c>
      <c r="K14" s="11" t="n">
        <f aca="false">ROUND(G14*(1+$D$2)/F14*(1+$D$3),2)</f>
        <v>68.17</v>
      </c>
      <c r="L14" s="12"/>
    </row>
    <row r="15" customFormat="false" ht="15" hidden="false" customHeight="false" outlineLevel="0" collapsed="false">
      <c r="A15" s="6" t="n">
        <v>10</v>
      </c>
      <c r="B15" s="7" t="s">
        <v>38</v>
      </c>
      <c r="C15" s="6" t="s">
        <v>17</v>
      </c>
      <c r="D15" s="6" t="s">
        <v>21</v>
      </c>
      <c r="E15" s="8" t="s">
        <v>39</v>
      </c>
      <c r="F15" s="9" t="n">
        <v>16</v>
      </c>
      <c r="G15" s="10" t="n">
        <v>424</v>
      </c>
      <c r="H15" s="11" t="n">
        <f aca="false">ROUND(G15/F15,2)</f>
        <v>26.5</v>
      </c>
      <c r="I15" s="11" t="n">
        <f aca="false">ROUND(G15*(1+$D$2),2)</f>
        <v>483.36</v>
      </c>
      <c r="J15" s="11" t="n">
        <f aca="false">ROUND(G15*(1+$D$2)/F15,2)</f>
        <v>30.21</v>
      </c>
      <c r="K15" s="11" t="n">
        <f aca="false">ROUND(G15*(1+$D$2)/F15*(1+$D$3),2)</f>
        <v>34.74</v>
      </c>
      <c r="L15" s="12"/>
    </row>
    <row r="16" customFormat="false" ht="15" hidden="false" customHeight="false" outlineLevel="0" collapsed="false">
      <c r="A16" s="6" t="n">
        <v>11</v>
      </c>
      <c r="B16" s="7" t="s">
        <v>40</v>
      </c>
      <c r="C16" s="6" t="s">
        <v>17</v>
      </c>
      <c r="D16" s="6" t="s">
        <v>21</v>
      </c>
      <c r="E16" s="8" t="s">
        <v>41</v>
      </c>
      <c r="F16" s="9" t="n">
        <v>9</v>
      </c>
      <c r="G16" s="10" t="n">
        <v>1325</v>
      </c>
      <c r="H16" s="11" t="n">
        <f aca="false">ROUND(G16/F16,2)</f>
        <v>147.22</v>
      </c>
      <c r="I16" s="11" t="n">
        <f aca="false">ROUND(G16*(1+$D$2),2)</f>
        <v>1510.5</v>
      </c>
      <c r="J16" s="11" t="n">
        <f aca="false">ROUND(G16*(1+$D$2)/F16,2)</f>
        <v>167.83</v>
      </c>
      <c r="K16" s="11" t="n">
        <f aca="false">ROUND(G16*(1+$D$2)/F16*(1+$D$3),2)</f>
        <v>193.01</v>
      </c>
      <c r="L16" s="12"/>
    </row>
    <row r="17" customFormat="false" ht="15" hidden="false" customHeight="false" outlineLevel="0" collapsed="false">
      <c r="A17" s="6" t="n">
        <v>12</v>
      </c>
      <c r="B17" s="7" t="s">
        <v>42</v>
      </c>
      <c r="C17" s="6" t="s">
        <v>17</v>
      </c>
      <c r="D17" s="6" t="s">
        <v>18</v>
      </c>
      <c r="E17" s="8" t="s">
        <v>43</v>
      </c>
      <c r="F17" s="9" t="n">
        <v>12</v>
      </c>
      <c r="G17" s="10" t="n">
        <v>400</v>
      </c>
      <c r="H17" s="11" t="n">
        <f aca="false">ROUND(G17/F17,2)</f>
        <v>33.33</v>
      </c>
      <c r="I17" s="11" t="n">
        <f aca="false">ROUND(G17*(1+$D$2),2)</f>
        <v>456</v>
      </c>
      <c r="J17" s="11" t="n">
        <f aca="false">ROUND(G17*(1+$D$2)/F17,2)</f>
        <v>38</v>
      </c>
      <c r="K17" s="11" t="n">
        <f aca="false">ROUND(G17*(1+$D$2)/F17*(1+$D$3),2)</f>
        <v>43.7</v>
      </c>
      <c r="L17" s="12"/>
    </row>
    <row r="18" customFormat="false" ht="15" hidden="false" customHeight="false" outlineLevel="0" collapsed="false">
      <c r="A18" s="6" t="n">
        <v>13</v>
      </c>
      <c r="B18" s="7" t="s">
        <v>44</v>
      </c>
      <c r="C18" s="6" t="s">
        <v>17</v>
      </c>
      <c r="D18" s="6" t="s">
        <v>18</v>
      </c>
      <c r="E18" s="8" t="s">
        <v>45</v>
      </c>
      <c r="F18" s="9" t="n">
        <v>12</v>
      </c>
      <c r="G18" s="10" t="n">
        <v>400</v>
      </c>
      <c r="H18" s="11" t="n">
        <f aca="false">ROUND(G18/F18,2)</f>
        <v>33.33</v>
      </c>
      <c r="I18" s="11" t="n">
        <f aca="false">ROUND(G18*(1+$D$2),2)</f>
        <v>456</v>
      </c>
      <c r="J18" s="11" t="n">
        <f aca="false">ROUND(G18*(1+$D$2)/F18,2)</f>
        <v>38</v>
      </c>
      <c r="K18" s="11" t="n">
        <f aca="false">ROUND(G18*(1+$D$2)/F18*(1+$D$3),2)</f>
        <v>43.7</v>
      </c>
      <c r="L18" s="12"/>
    </row>
    <row r="19" customFormat="false" ht="15" hidden="false" customHeight="false" outlineLevel="0" collapsed="false">
      <c r="A19" s="6" t="n">
        <v>14</v>
      </c>
      <c r="B19" s="7" t="s">
        <v>46</v>
      </c>
      <c r="C19" s="6" t="s">
        <v>17</v>
      </c>
      <c r="D19" s="6" t="s">
        <v>18</v>
      </c>
      <c r="E19" s="8" t="s">
        <v>47</v>
      </c>
      <c r="F19" s="9" t="n">
        <v>12</v>
      </c>
      <c r="G19" s="10" t="n">
        <v>400</v>
      </c>
      <c r="H19" s="11" t="n">
        <f aca="false">ROUND(G19/F19,2)</f>
        <v>33.33</v>
      </c>
      <c r="I19" s="11" t="n">
        <f aca="false">ROUND(G19*(1+$D$2),2)</f>
        <v>456</v>
      </c>
      <c r="J19" s="11" t="n">
        <f aca="false">ROUND(G19*(1+$D$2)/F19,2)</f>
        <v>38</v>
      </c>
      <c r="K19" s="11" t="n">
        <f aca="false">ROUND(G19*(1+$D$2)/F19*(1+$D$3),2)</f>
        <v>43.7</v>
      </c>
      <c r="L19" s="12"/>
    </row>
    <row r="20" customFormat="false" ht="15" hidden="false" customHeight="false" outlineLevel="0" collapsed="false">
      <c r="A20" s="6" t="n">
        <v>15</v>
      </c>
      <c r="B20" s="7" t="s">
        <v>48</v>
      </c>
      <c r="C20" s="6" t="s">
        <v>17</v>
      </c>
      <c r="D20" s="6" t="s">
        <v>18</v>
      </c>
      <c r="E20" s="8" t="s">
        <v>49</v>
      </c>
      <c r="F20" s="9" t="n">
        <v>24</v>
      </c>
      <c r="G20" s="10" t="n">
        <v>600</v>
      </c>
      <c r="H20" s="11" t="n">
        <f aca="false">ROUND(G20/F20,2)</f>
        <v>25</v>
      </c>
      <c r="I20" s="11" t="n">
        <f aca="false">ROUND(G20*(1+$D$2),2)</f>
        <v>684</v>
      </c>
      <c r="J20" s="11" t="n">
        <f aca="false">ROUND(G20*(1+$D$2)/F20,2)</f>
        <v>28.5</v>
      </c>
      <c r="K20" s="11" t="n">
        <f aca="false">ROUND(G20*(1+$D$2)/F20*(1+$D$3),2)</f>
        <v>32.78</v>
      </c>
      <c r="L20" s="12"/>
    </row>
    <row r="21" customFormat="false" ht="15" hidden="false" customHeight="false" outlineLevel="0" collapsed="false">
      <c r="A21" s="6" t="n">
        <v>16</v>
      </c>
      <c r="B21" s="7" t="s">
        <v>50</v>
      </c>
      <c r="C21" s="6" t="s">
        <v>17</v>
      </c>
      <c r="D21" s="6" t="s">
        <v>18</v>
      </c>
      <c r="E21" s="8" t="s">
        <v>51</v>
      </c>
      <c r="F21" s="9" t="n">
        <v>24</v>
      </c>
      <c r="G21" s="10" t="n">
        <v>600</v>
      </c>
      <c r="H21" s="11" t="n">
        <f aca="false">ROUND(G21/F21,2)</f>
        <v>25</v>
      </c>
      <c r="I21" s="11" t="n">
        <f aca="false">ROUND(G21*(1+$D$2),2)</f>
        <v>684</v>
      </c>
      <c r="J21" s="11" t="n">
        <f aca="false">ROUND(G21*(1+$D$2)/F21,2)</f>
        <v>28.5</v>
      </c>
      <c r="K21" s="11" t="n">
        <f aca="false">ROUND(G21*(1+$D$2)/F21*(1+$D$3),2)</f>
        <v>32.78</v>
      </c>
      <c r="L21" s="12"/>
    </row>
    <row r="22" customFormat="false" ht="15" hidden="false" customHeight="false" outlineLevel="0" collapsed="false">
      <c r="A22" s="6" t="n">
        <v>17</v>
      </c>
      <c r="B22" s="7" t="s">
        <v>52</v>
      </c>
      <c r="C22" s="6" t="s">
        <v>17</v>
      </c>
      <c r="D22" s="6" t="s">
        <v>18</v>
      </c>
      <c r="E22" s="8" t="s">
        <v>53</v>
      </c>
      <c r="F22" s="9" t="n">
        <v>24</v>
      </c>
      <c r="G22" s="10" t="n">
        <v>600</v>
      </c>
      <c r="H22" s="11" t="n">
        <f aca="false">ROUND(G22/F22,2)</f>
        <v>25</v>
      </c>
      <c r="I22" s="11" t="n">
        <f aca="false">ROUND(G22*(1+$D$2),2)</f>
        <v>684</v>
      </c>
      <c r="J22" s="11" t="n">
        <f aca="false">ROUND(G22*(1+$D$2)/F22,2)</f>
        <v>28.5</v>
      </c>
      <c r="K22" s="11" t="n">
        <f aca="false">ROUND(G22*(1+$D$2)/F22*(1+$D$3),2)</f>
        <v>32.78</v>
      </c>
      <c r="L22" s="12"/>
    </row>
    <row r="23" customFormat="false" ht="15" hidden="false" customHeight="false" outlineLevel="0" collapsed="false">
      <c r="A23" s="6" t="n">
        <v>18</v>
      </c>
      <c r="B23" s="7" t="s">
        <v>54</v>
      </c>
      <c r="C23" s="6" t="s">
        <v>17</v>
      </c>
      <c r="D23" s="6" t="s">
        <v>18</v>
      </c>
      <c r="E23" s="8" t="s">
        <v>55</v>
      </c>
      <c r="F23" s="9" t="n">
        <v>24</v>
      </c>
      <c r="G23" s="10" t="n">
        <v>600</v>
      </c>
      <c r="H23" s="11" t="n">
        <f aca="false">ROUND(G23/F23,2)</f>
        <v>25</v>
      </c>
      <c r="I23" s="11" t="n">
        <f aca="false">ROUND(G23*(1+$D$2),2)</f>
        <v>684</v>
      </c>
      <c r="J23" s="11" t="n">
        <f aca="false">ROUND(G23*(1+$D$2)/F23,2)</f>
        <v>28.5</v>
      </c>
      <c r="K23" s="11" t="n">
        <f aca="false">ROUND(G23*(1+$D$2)/F23*(1+$D$3),2)</f>
        <v>32.78</v>
      </c>
      <c r="L23" s="12"/>
    </row>
    <row r="24" customFormat="false" ht="15" hidden="false" customHeight="false" outlineLevel="0" collapsed="false">
      <c r="A24" s="6" t="n">
        <v>19</v>
      </c>
      <c r="B24" s="7" t="s">
        <v>56</v>
      </c>
      <c r="C24" s="6" t="s">
        <v>17</v>
      </c>
      <c r="D24" s="6" t="s">
        <v>57</v>
      </c>
      <c r="E24" s="8" t="s">
        <v>58</v>
      </c>
      <c r="F24" s="9" t="n">
        <v>36</v>
      </c>
      <c r="G24" s="10" t="n">
        <v>550</v>
      </c>
      <c r="H24" s="11" t="n">
        <f aca="false">ROUND(G24/F24,2)</f>
        <v>15.28</v>
      </c>
      <c r="I24" s="11" t="n">
        <f aca="false">ROUND(G24*(1+$D$2),2)</f>
        <v>627</v>
      </c>
      <c r="J24" s="11" t="n">
        <f aca="false">ROUND(G24*(1+$D$2)/F24,2)</f>
        <v>17.42</v>
      </c>
      <c r="K24" s="11" t="n">
        <f aca="false">ROUND(G24*(1+$D$2)/F24*(1+$D$3),2)</f>
        <v>20.03</v>
      </c>
      <c r="L24" s="12"/>
    </row>
    <row r="25" customFormat="false" ht="15" hidden="false" customHeight="false" outlineLevel="0" collapsed="false">
      <c r="A25" s="6" t="n">
        <v>20</v>
      </c>
      <c r="B25" s="7" t="s">
        <v>59</v>
      </c>
      <c r="C25" s="6" t="s">
        <v>17</v>
      </c>
      <c r="D25" s="6" t="s">
        <v>57</v>
      </c>
      <c r="E25" s="8" t="s">
        <v>60</v>
      </c>
      <c r="F25" s="9" t="n">
        <v>50</v>
      </c>
      <c r="G25" s="10" t="n">
        <v>575</v>
      </c>
      <c r="H25" s="11" t="n">
        <f aca="false">ROUND(G25/F25,2)</f>
        <v>11.5</v>
      </c>
      <c r="I25" s="11" t="n">
        <f aca="false">ROUND(G25*(1+$D$2),2)</f>
        <v>655.5</v>
      </c>
      <c r="J25" s="11" t="n">
        <f aca="false">ROUND(G25*(1+$D$2)/F25,2)</f>
        <v>13.11</v>
      </c>
      <c r="K25" s="11" t="n">
        <f aca="false">ROUND(G25*(1+$D$2)/F25*(1+$D$3),2)</f>
        <v>15.08</v>
      </c>
      <c r="L25" s="12"/>
    </row>
    <row r="26" customFormat="false" ht="15" hidden="false" customHeight="false" outlineLevel="0" collapsed="false">
      <c r="A26" s="6" t="n">
        <v>21</v>
      </c>
      <c r="B26" s="7" t="s">
        <v>61</v>
      </c>
      <c r="C26" s="6" t="s">
        <v>17</v>
      </c>
      <c r="D26" s="6" t="s">
        <v>62</v>
      </c>
      <c r="E26" s="8" t="s">
        <v>63</v>
      </c>
      <c r="F26" s="9" t="n">
        <v>72</v>
      </c>
      <c r="G26" s="10" t="n">
        <v>1050</v>
      </c>
      <c r="H26" s="11" t="n">
        <f aca="false">ROUND(G26/F26,2)</f>
        <v>14.58</v>
      </c>
      <c r="I26" s="11" t="n">
        <f aca="false">ROUND(G26*(1+$D$2),2)</f>
        <v>1197</v>
      </c>
      <c r="J26" s="11" t="n">
        <f aca="false">ROUND(G26*(1+$D$2)/F26,2)</f>
        <v>16.63</v>
      </c>
      <c r="K26" s="11" t="n">
        <f aca="false">ROUND(G26*(1+$D$2)/F26*(1+$D$3),2)</f>
        <v>19.12</v>
      </c>
      <c r="L26" s="12"/>
    </row>
    <row r="27" customFormat="false" ht="15" hidden="false" customHeight="false" outlineLevel="0" collapsed="false">
      <c r="A27" s="6" t="n">
        <v>22</v>
      </c>
      <c r="B27" s="7" t="s">
        <v>64</v>
      </c>
      <c r="C27" s="6" t="s">
        <v>17</v>
      </c>
      <c r="D27" s="6" t="s">
        <v>62</v>
      </c>
      <c r="E27" s="8" t="s">
        <v>65</v>
      </c>
      <c r="F27" s="9" t="n">
        <v>72</v>
      </c>
      <c r="G27" s="10" t="n">
        <v>1050</v>
      </c>
      <c r="H27" s="11" t="n">
        <f aca="false">ROUND(G27/F27,2)</f>
        <v>14.58</v>
      </c>
      <c r="I27" s="11" t="n">
        <f aca="false">ROUND(G27*(1+$D$2),2)</f>
        <v>1197</v>
      </c>
      <c r="J27" s="11" t="n">
        <f aca="false">ROUND(G27*(1+$D$2)/F27,2)</f>
        <v>16.63</v>
      </c>
      <c r="K27" s="11" t="n">
        <f aca="false">ROUND(G27*(1+$D$2)/F27*(1+$D$3),2)</f>
        <v>19.12</v>
      </c>
      <c r="L27" s="12"/>
    </row>
    <row r="28" customFormat="false" ht="15" hidden="false" customHeight="false" outlineLevel="0" collapsed="false">
      <c r="A28" s="6" t="n">
        <v>23</v>
      </c>
      <c r="B28" s="7" t="s">
        <v>66</v>
      </c>
      <c r="C28" s="6" t="s">
        <v>17</v>
      </c>
      <c r="D28" s="6" t="s">
        <v>67</v>
      </c>
      <c r="E28" s="8" t="s">
        <v>68</v>
      </c>
      <c r="F28" s="9" t="n">
        <v>288</v>
      </c>
      <c r="G28" s="10" t="n">
        <v>1550</v>
      </c>
      <c r="H28" s="11" t="n">
        <f aca="false">ROUND(G28/F28,2)</f>
        <v>5.38</v>
      </c>
      <c r="I28" s="11" t="n">
        <f aca="false">ROUND(G28*(1+$D$2),2)</f>
        <v>1767</v>
      </c>
      <c r="J28" s="11" t="n">
        <f aca="false">ROUND(G28*(1+$D$2)/F28,2)</f>
        <v>6.14</v>
      </c>
      <c r="K28" s="11" t="n">
        <f aca="false">ROUND(G28*(1+$D$2)/F28*(1+$D$3),2)</f>
        <v>7.06</v>
      </c>
      <c r="L28" s="12"/>
    </row>
    <row r="29" customFormat="false" ht="15" hidden="false" customHeight="false" outlineLevel="0" collapsed="false">
      <c r="A29" s="6" t="n">
        <v>24</v>
      </c>
      <c r="B29" s="7" t="s">
        <v>69</v>
      </c>
      <c r="C29" s="6" t="s">
        <v>17</v>
      </c>
      <c r="D29" s="6" t="s">
        <v>70</v>
      </c>
      <c r="E29" s="8" t="s">
        <v>71</v>
      </c>
      <c r="F29" s="9" t="n">
        <v>6</v>
      </c>
      <c r="G29" s="10" t="n">
        <v>275</v>
      </c>
      <c r="H29" s="11" t="n">
        <f aca="false">ROUND(G29/F29,2)</f>
        <v>45.83</v>
      </c>
      <c r="I29" s="11" t="n">
        <f aca="false">ROUND(G29*(1+$D$2),2)</f>
        <v>313.5</v>
      </c>
      <c r="J29" s="11" t="n">
        <f aca="false">ROUND(G29*(1+$D$2)/F29,2)</f>
        <v>52.25</v>
      </c>
      <c r="K29" s="11" t="n">
        <f aca="false">ROUND(G29*(1+$D$2)/F29*(1+$D$3),2)</f>
        <v>60.09</v>
      </c>
      <c r="L29" s="12"/>
    </row>
    <row r="30" customFormat="false" ht="15" hidden="false" customHeight="false" outlineLevel="0" collapsed="false">
      <c r="A30" s="6" t="n">
        <v>25</v>
      </c>
      <c r="B30" s="7" t="s">
        <v>72</v>
      </c>
      <c r="C30" s="6" t="s">
        <v>17</v>
      </c>
      <c r="D30" s="6" t="s">
        <v>70</v>
      </c>
      <c r="E30" s="8" t="s">
        <v>73</v>
      </c>
      <c r="F30" s="9" t="n">
        <v>6</v>
      </c>
      <c r="G30" s="10" t="n">
        <v>275</v>
      </c>
      <c r="H30" s="11" t="n">
        <f aca="false">ROUND(G30/F30,2)</f>
        <v>45.83</v>
      </c>
      <c r="I30" s="11" t="n">
        <f aca="false">ROUND(G30*(1+$D$2),2)</f>
        <v>313.5</v>
      </c>
      <c r="J30" s="11" t="n">
        <f aca="false">ROUND(G30*(1+$D$2)/F30,2)</f>
        <v>52.25</v>
      </c>
      <c r="K30" s="11" t="n">
        <f aca="false">ROUND(G30*(1+$D$2)/F30*(1+$D$3),2)</f>
        <v>60.09</v>
      </c>
      <c r="L30" s="12"/>
    </row>
    <row r="31" customFormat="false" ht="15" hidden="false" customHeight="false" outlineLevel="0" collapsed="false">
      <c r="A31" s="6" t="n">
        <v>26</v>
      </c>
      <c r="B31" s="7" t="s">
        <v>74</v>
      </c>
      <c r="C31" s="6" t="s">
        <v>17</v>
      </c>
      <c r="D31" s="6" t="s">
        <v>70</v>
      </c>
      <c r="E31" s="8" t="s">
        <v>75</v>
      </c>
      <c r="F31" s="9" t="n">
        <v>6</v>
      </c>
      <c r="G31" s="10" t="n">
        <v>275</v>
      </c>
      <c r="H31" s="11" t="n">
        <f aca="false">ROUND(G31/F31,2)</f>
        <v>45.83</v>
      </c>
      <c r="I31" s="11" t="n">
        <f aca="false">ROUND(G31*(1+$D$2),2)</f>
        <v>313.5</v>
      </c>
      <c r="J31" s="11" t="n">
        <f aca="false">ROUND(G31*(1+$D$2)/F31,2)</f>
        <v>52.25</v>
      </c>
      <c r="K31" s="11" t="n">
        <f aca="false">ROUND(G31*(1+$D$2)/F31*(1+$D$3),2)</f>
        <v>60.09</v>
      </c>
      <c r="L31" s="12"/>
    </row>
    <row r="32" customFormat="false" ht="15" hidden="false" customHeight="false" outlineLevel="0" collapsed="false">
      <c r="A32" s="6" t="n">
        <v>27</v>
      </c>
      <c r="B32" s="7" t="s">
        <v>76</v>
      </c>
      <c r="C32" s="6" t="s">
        <v>17</v>
      </c>
      <c r="D32" s="6" t="s">
        <v>70</v>
      </c>
      <c r="E32" s="8" t="s">
        <v>77</v>
      </c>
      <c r="F32" s="9" t="n">
        <v>6</v>
      </c>
      <c r="G32" s="10" t="n">
        <v>275</v>
      </c>
      <c r="H32" s="11" t="n">
        <f aca="false">ROUND(G32/F32,2)</f>
        <v>45.83</v>
      </c>
      <c r="I32" s="11" t="n">
        <f aca="false">ROUND(G32*(1+$D$2),2)</f>
        <v>313.5</v>
      </c>
      <c r="J32" s="11" t="n">
        <f aca="false">ROUND(G32*(1+$D$2)/F32,2)</f>
        <v>52.25</v>
      </c>
      <c r="K32" s="11" t="n">
        <f aca="false">ROUND(G32*(1+$D$2)/F32*(1+$D$3),2)</f>
        <v>60.09</v>
      </c>
      <c r="L32" s="12"/>
    </row>
    <row r="33" customFormat="false" ht="15" hidden="false" customHeight="false" outlineLevel="0" collapsed="false">
      <c r="A33" s="6" t="n">
        <v>28</v>
      </c>
      <c r="B33" s="7" t="s">
        <v>78</v>
      </c>
      <c r="C33" s="6" t="s">
        <v>17</v>
      </c>
      <c r="D33" s="6" t="s">
        <v>70</v>
      </c>
      <c r="E33" s="8" t="s">
        <v>79</v>
      </c>
      <c r="F33" s="9" t="n">
        <v>6</v>
      </c>
      <c r="G33" s="10" t="n">
        <v>275</v>
      </c>
      <c r="H33" s="11" t="n">
        <f aca="false">ROUND(G33/F33,2)</f>
        <v>45.83</v>
      </c>
      <c r="I33" s="11" t="n">
        <f aca="false">ROUND(G33*(1+$D$2),2)</f>
        <v>313.5</v>
      </c>
      <c r="J33" s="11" t="n">
        <f aca="false">ROUND(G33*(1+$D$2)/F33,2)</f>
        <v>52.25</v>
      </c>
      <c r="K33" s="11" t="n">
        <f aca="false">ROUND(G33*(1+$D$2)/F33*(1+$D$3),2)</f>
        <v>60.09</v>
      </c>
      <c r="L33" s="12"/>
    </row>
    <row r="34" customFormat="false" ht="15" hidden="false" customHeight="false" outlineLevel="0" collapsed="false">
      <c r="A34" s="6" t="n">
        <v>29</v>
      </c>
      <c r="B34" s="7" t="s">
        <v>80</v>
      </c>
      <c r="C34" s="6" t="s">
        <v>17</v>
      </c>
      <c r="D34" s="6" t="s">
        <v>70</v>
      </c>
      <c r="E34" s="8" t="s">
        <v>81</v>
      </c>
      <c r="F34" s="9" t="n">
        <v>6</v>
      </c>
      <c r="G34" s="10" t="n">
        <v>275</v>
      </c>
      <c r="H34" s="11" t="n">
        <f aca="false">ROUND(G34/F34,2)</f>
        <v>45.83</v>
      </c>
      <c r="I34" s="11" t="n">
        <f aca="false">ROUND(G34*(1+$D$2),2)</f>
        <v>313.5</v>
      </c>
      <c r="J34" s="11" t="n">
        <f aca="false">ROUND(G34*(1+$D$2)/F34,2)</f>
        <v>52.25</v>
      </c>
      <c r="K34" s="11" t="n">
        <f aca="false">ROUND(G34*(1+$D$2)/F34*(1+$D$3),2)</f>
        <v>60.09</v>
      </c>
      <c r="L34" s="12"/>
    </row>
    <row r="35" customFormat="false" ht="15" hidden="false" customHeight="false" outlineLevel="0" collapsed="false">
      <c r="A35" s="6" t="n">
        <v>30</v>
      </c>
      <c r="B35" s="7" t="s">
        <v>82</v>
      </c>
      <c r="C35" s="6" t="s">
        <v>17</v>
      </c>
      <c r="D35" s="6" t="s">
        <v>70</v>
      </c>
      <c r="E35" s="8" t="s">
        <v>83</v>
      </c>
      <c r="F35" s="9" t="n">
        <v>6</v>
      </c>
      <c r="G35" s="10" t="n">
        <v>275</v>
      </c>
      <c r="H35" s="11" t="n">
        <f aca="false">ROUND(G35/F35,2)</f>
        <v>45.83</v>
      </c>
      <c r="I35" s="11" t="n">
        <f aca="false">ROUND(G35*(1+$D$2),2)</f>
        <v>313.5</v>
      </c>
      <c r="J35" s="11" t="n">
        <f aca="false">ROUND(G35*(1+$D$2)/F35,2)</f>
        <v>52.25</v>
      </c>
      <c r="K35" s="11" t="n">
        <f aca="false">ROUND(G35*(1+$D$2)/F35*(1+$D$3),2)</f>
        <v>60.09</v>
      </c>
      <c r="L35" s="12"/>
    </row>
    <row r="36" customFormat="false" ht="15" hidden="false" customHeight="false" outlineLevel="0" collapsed="false">
      <c r="A36" s="6" t="n">
        <v>31</v>
      </c>
      <c r="B36" s="7" t="s">
        <v>84</v>
      </c>
      <c r="C36" s="6" t="s">
        <v>17</v>
      </c>
      <c r="D36" s="6" t="s">
        <v>70</v>
      </c>
      <c r="E36" s="8" t="s">
        <v>85</v>
      </c>
      <c r="F36" s="9" t="n">
        <v>6</v>
      </c>
      <c r="G36" s="10" t="n">
        <v>275</v>
      </c>
      <c r="H36" s="11" t="n">
        <f aca="false">ROUND(G36/F36,2)</f>
        <v>45.83</v>
      </c>
      <c r="I36" s="11" t="n">
        <f aca="false">ROUND(G36*(1+$D$2),2)</f>
        <v>313.5</v>
      </c>
      <c r="J36" s="11" t="n">
        <f aca="false">ROUND(G36*(1+$D$2)/F36,2)</f>
        <v>52.25</v>
      </c>
      <c r="K36" s="11" t="n">
        <f aca="false">ROUND(G36*(1+$D$2)/F36*(1+$D$3),2)</f>
        <v>60.09</v>
      </c>
      <c r="L36" s="12"/>
    </row>
    <row r="37" customFormat="false" ht="15" hidden="false" customHeight="false" outlineLevel="0" collapsed="false">
      <c r="A37" s="6" t="n">
        <v>32</v>
      </c>
      <c r="B37" s="7" t="s">
        <v>86</v>
      </c>
      <c r="C37" s="6" t="s">
        <v>17</v>
      </c>
      <c r="D37" s="6" t="s">
        <v>70</v>
      </c>
      <c r="E37" s="8" t="s">
        <v>87</v>
      </c>
      <c r="F37" s="9" t="n">
        <v>6</v>
      </c>
      <c r="G37" s="10" t="n">
        <v>275</v>
      </c>
      <c r="H37" s="11" t="n">
        <f aca="false">ROUND(G37/F37,2)</f>
        <v>45.83</v>
      </c>
      <c r="I37" s="11" t="n">
        <f aca="false">ROUND(G37*(1+$D$2),2)</f>
        <v>313.5</v>
      </c>
      <c r="J37" s="11" t="n">
        <f aca="false">ROUND(G37*(1+$D$2)/F37,2)</f>
        <v>52.25</v>
      </c>
      <c r="K37" s="11" t="n">
        <f aca="false">ROUND(G37*(1+$D$2)/F37*(1+$D$3),2)</f>
        <v>60.09</v>
      </c>
      <c r="L37" s="12"/>
    </row>
    <row r="38" customFormat="false" ht="15" hidden="false" customHeight="false" outlineLevel="0" collapsed="false">
      <c r="A38" s="6" t="n">
        <v>33</v>
      </c>
      <c r="B38" s="7" t="s">
        <v>88</v>
      </c>
      <c r="C38" s="6" t="s">
        <v>17</v>
      </c>
      <c r="D38" s="6" t="s">
        <v>70</v>
      </c>
      <c r="E38" s="8" t="s">
        <v>89</v>
      </c>
      <c r="F38" s="9" t="n">
        <v>6</v>
      </c>
      <c r="G38" s="10" t="n">
        <v>275</v>
      </c>
      <c r="H38" s="11" t="n">
        <f aca="false">ROUND(G38/F38,2)</f>
        <v>45.83</v>
      </c>
      <c r="I38" s="11" t="n">
        <f aca="false">ROUND(G38*(1+$D$2),2)</f>
        <v>313.5</v>
      </c>
      <c r="J38" s="11" t="n">
        <f aca="false">ROUND(G38*(1+$D$2)/F38,2)</f>
        <v>52.25</v>
      </c>
      <c r="K38" s="11" t="n">
        <f aca="false">ROUND(G38*(1+$D$2)/F38*(1+$D$3),2)</f>
        <v>60.09</v>
      </c>
      <c r="L38" s="12"/>
    </row>
    <row r="39" customFormat="false" ht="15" hidden="false" customHeight="false" outlineLevel="0" collapsed="false">
      <c r="A39" s="6" t="n">
        <v>34</v>
      </c>
      <c r="B39" s="7" t="s">
        <v>90</v>
      </c>
      <c r="C39" s="6" t="s">
        <v>17</v>
      </c>
      <c r="D39" s="6" t="s">
        <v>70</v>
      </c>
      <c r="E39" s="8" t="s">
        <v>91</v>
      </c>
      <c r="F39" s="9" t="n">
        <v>6</v>
      </c>
      <c r="G39" s="10" t="n">
        <v>275</v>
      </c>
      <c r="H39" s="11" t="n">
        <f aca="false">ROUND(G39/F39,2)</f>
        <v>45.83</v>
      </c>
      <c r="I39" s="11" t="n">
        <f aca="false">ROUND(G39*(1+$D$2),2)</f>
        <v>313.5</v>
      </c>
      <c r="J39" s="11" t="n">
        <f aca="false">ROUND(G39*(1+$D$2)/F39,2)</f>
        <v>52.25</v>
      </c>
      <c r="K39" s="11" t="n">
        <f aca="false">ROUND(G39*(1+$D$2)/F39*(1+$D$3),2)</f>
        <v>60.09</v>
      </c>
      <c r="L39" s="12"/>
    </row>
    <row r="40" customFormat="false" ht="15" hidden="false" customHeight="false" outlineLevel="0" collapsed="false">
      <c r="A40" s="6" t="n">
        <v>35</v>
      </c>
      <c r="B40" s="7" t="s">
        <v>92</v>
      </c>
      <c r="C40" s="6" t="s">
        <v>17</v>
      </c>
      <c r="D40" s="6" t="s">
        <v>70</v>
      </c>
      <c r="E40" s="8" t="s">
        <v>93</v>
      </c>
      <c r="F40" s="9" t="n">
        <v>6</v>
      </c>
      <c r="G40" s="10" t="n">
        <v>275</v>
      </c>
      <c r="H40" s="11" t="n">
        <f aca="false">ROUND(G40/F40,2)</f>
        <v>45.83</v>
      </c>
      <c r="I40" s="11" t="n">
        <f aca="false">ROUND(G40*(1+$D$2),2)</f>
        <v>313.5</v>
      </c>
      <c r="J40" s="11" t="n">
        <f aca="false">ROUND(G40*(1+$D$2)/F40,2)</f>
        <v>52.25</v>
      </c>
      <c r="K40" s="11" t="n">
        <f aca="false">ROUND(G40*(1+$D$2)/F40*(1+$D$3),2)</f>
        <v>60.09</v>
      </c>
      <c r="L40" s="12"/>
    </row>
    <row r="41" customFormat="false" ht="15" hidden="false" customHeight="false" outlineLevel="0" collapsed="false">
      <c r="A41" s="6" t="n">
        <v>36</v>
      </c>
      <c r="B41" s="7" t="s">
        <v>94</v>
      </c>
      <c r="C41" s="6" t="s">
        <v>17</v>
      </c>
      <c r="D41" s="6" t="s">
        <v>70</v>
      </c>
      <c r="E41" s="8" t="s">
        <v>95</v>
      </c>
      <c r="F41" s="9" t="n">
        <v>6</v>
      </c>
      <c r="G41" s="10" t="n">
        <v>275</v>
      </c>
      <c r="H41" s="11" t="n">
        <f aca="false">ROUND(G41/F41,2)</f>
        <v>45.83</v>
      </c>
      <c r="I41" s="11" t="n">
        <f aca="false">ROUND(G41*(1+$D$2),2)</f>
        <v>313.5</v>
      </c>
      <c r="J41" s="11" t="n">
        <f aca="false">ROUND(G41*(1+$D$2)/F41,2)</f>
        <v>52.25</v>
      </c>
      <c r="K41" s="11" t="n">
        <f aca="false">ROUND(G41*(1+$D$2)/F41*(1+$D$3),2)</f>
        <v>60.09</v>
      </c>
      <c r="L41" s="12"/>
    </row>
    <row r="42" customFormat="false" ht="15" hidden="false" customHeight="false" outlineLevel="0" collapsed="false">
      <c r="A42" s="6" t="n">
        <v>37</v>
      </c>
      <c r="B42" s="7" t="s">
        <v>96</v>
      </c>
      <c r="C42" s="6" t="s">
        <v>17</v>
      </c>
      <c r="D42" s="6" t="s">
        <v>97</v>
      </c>
      <c r="E42" s="8" t="s">
        <v>98</v>
      </c>
      <c r="F42" s="9" t="n">
        <v>6</v>
      </c>
      <c r="G42" s="10" t="n">
        <v>320</v>
      </c>
      <c r="H42" s="11" t="n">
        <f aca="false">ROUND(G42/F42,2)</f>
        <v>53.33</v>
      </c>
      <c r="I42" s="11" t="n">
        <f aca="false">ROUND(G42*(1+$D$2),2)</f>
        <v>364.8</v>
      </c>
      <c r="J42" s="11" t="n">
        <f aca="false">ROUND(G42*(1+$D$2)/F42,2)</f>
        <v>60.8</v>
      </c>
      <c r="K42" s="11" t="n">
        <f aca="false">ROUND(G42*(1+$D$2)/F42*(1+$D$3),2)</f>
        <v>69.92</v>
      </c>
      <c r="L42" s="12"/>
    </row>
    <row r="43" customFormat="false" ht="15" hidden="false" customHeight="false" outlineLevel="0" collapsed="false">
      <c r="A43" s="6" t="n">
        <v>38</v>
      </c>
      <c r="B43" s="7" t="s">
        <v>99</v>
      </c>
      <c r="C43" s="6" t="s">
        <v>17</v>
      </c>
      <c r="D43" s="6" t="s">
        <v>97</v>
      </c>
      <c r="E43" s="8" t="s">
        <v>100</v>
      </c>
      <c r="F43" s="9" t="n">
        <v>6</v>
      </c>
      <c r="G43" s="10" t="n">
        <v>320</v>
      </c>
      <c r="H43" s="11" t="n">
        <f aca="false">ROUND(G43/F43,2)</f>
        <v>53.33</v>
      </c>
      <c r="I43" s="11" t="n">
        <f aca="false">ROUND(G43*(1+$D$2),2)</f>
        <v>364.8</v>
      </c>
      <c r="J43" s="11" t="n">
        <f aca="false">ROUND(G43*(1+$D$2)/F43,2)</f>
        <v>60.8</v>
      </c>
      <c r="K43" s="11" t="n">
        <f aca="false">ROUND(G43*(1+$D$2)/F43*(1+$D$3),2)</f>
        <v>69.92</v>
      </c>
      <c r="L43" s="12"/>
    </row>
    <row r="44" customFormat="false" ht="15" hidden="false" customHeight="false" outlineLevel="0" collapsed="false">
      <c r="A44" s="6" t="n">
        <v>39</v>
      </c>
      <c r="B44" s="7" t="s">
        <v>101</v>
      </c>
      <c r="C44" s="6" t="s">
        <v>17</v>
      </c>
      <c r="D44" s="6" t="s">
        <v>97</v>
      </c>
      <c r="E44" s="8" t="s">
        <v>102</v>
      </c>
      <c r="F44" s="9" t="n">
        <v>6</v>
      </c>
      <c r="G44" s="10" t="n">
        <v>320</v>
      </c>
      <c r="H44" s="11" t="n">
        <f aca="false">ROUND(G44/F44,2)</f>
        <v>53.33</v>
      </c>
      <c r="I44" s="11" t="n">
        <f aca="false">ROUND(G44*(1+$D$2),2)</f>
        <v>364.8</v>
      </c>
      <c r="J44" s="11" t="n">
        <f aca="false">ROUND(G44*(1+$D$2)/F44,2)</f>
        <v>60.8</v>
      </c>
      <c r="K44" s="11" t="n">
        <f aca="false">ROUND(G44*(1+$D$2)/F44*(1+$D$3),2)</f>
        <v>69.92</v>
      </c>
      <c r="L44" s="12"/>
    </row>
    <row r="45" customFormat="false" ht="15" hidden="false" customHeight="false" outlineLevel="0" collapsed="false">
      <c r="A45" s="6" t="n">
        <v>40</v>
      </c>
      <c r="B45" s="7" t="s">
        <v>103</v>
      </c>
      <c r="C45" s="6" t="s">
        <v>17</v>
      </c>
      <c r="D45" s="6" t="s">
        <v>97</v>
      </c>
      <c r="E45" s="8" t="s">
        <v>104</v>
      </c>
      <c r="F45" s="9" t="n">
        <v>6</v>
      </c>
      <c r="G45" s="10" t="n">
        <v>320</v>
      </c>
      <c r="H45" s="11" t="n">
        <f aca="false">ROUND(G45/F45,2)</f>
        <v>53.33</v>
      </c>
      <c r="I45" s="11" t="n">
        <f aca="false">ROUND(G45*(1+$D$2),2)</f>
        <v>364.8</v>
      </c>
      <c r="J45" s="11" t="n">
        <f aca="false">ROUND(G45*(1+$D$2)/F45,2)</f>
        <v>60.8</v>
      </c>
      <c r="K45" s="11" t="n">
        <f aca="false">ROUND(G45*(1+$D$2)/F45*(1+$D$3),2)</f>
        <v>69.92</v>
      </c>
      <c r="L45" s="12"/>
    </row>
    <row r="46" customFormat="false" ht="15" hidden="false" customHeight="false" outlineLevel="0" collapsed="false">
      <c r="A46" s="6" t="n">
        <v>41</v>
      </c>
      <c r="B46" s="7" t="s">
        <v>105</v>
      </c>
      <c r="C46" s="6" t="s">
        <v>17</v>
      </c>
      <c r="D46" s="6" t="s">
        <v>97</v>
      </c>
      <c r="E46" s="8" t="s">
        <v>106</v>
      </c>
      <c r="F46" s="9" t="n">
        <v>12</v>
      </c>
      <c r="G46" s="10" t="n">
        <v>240</v>
      </c>
      <c r="H46" s="11" t="n">
        <f aca="false">ROUND(G46/F46,2)</f>
        <v>20</v>
      </c>
      <c r="I46" s="11" t="n">
        <f aca="false">ROUND(G46*(1+$D$2),2)</f>
        <v>273.6</v>
      </c>
      <c r="J46" s="11" t="n">
        <f aca="false">ROUND(G46*(1+$D$2)/F46,2)</f>
        <v>22.8</v>
      </c>
      <c r="K46" s="11" t="n">
        <f aca="false">ROUND(G46*(1+$D$2)/F46*(1+$D$3),2)</f>
        <v>26.22</v>
      </c>
      <c r="L46" s="12" t="s">
        <v>107</v>
      </c>
    </row>
    <row r="47" customFormat="false" ht="15" hidden="false" customHeight="false" outlineLevel="0" collapsed="false">
      <c r="A47" s="6" t="n">
        <v>42</v>
      </c>
      <c r="B47" s="7" t="s">
        <v>108</v>
      </c>
      <c r="C47" s="6" t="s">
        <v>17</v>
      </c>
      <c r="D47" s="6" t="s">
        <v>97</v>
      </c>
      <c r="E47" s="8" t="s">
        <v>109</v>
      </c>
      <c r="F47" s="9" t="n">
        <v>12</v>
      </c>
      <c r="G47" s="10" t="n">
        <v>240</v>
      </c>
      <c r="H47" s="11" t="n">
        <f aca="false">ROUND(G47/F47,2)</f>
        <v>20</v>
      </c>
      <c r="I47" s="11" t="n">
        <f aca="false">ROUND(G47*(1+$D$2),2)</f>
        <v>273.6</v>
      </c>
      <c r="J47" s="11" t="n">
        <f aca="false">ROUND(G47*(1+$D$2)/F47,2)</f>
        <v>22.8</v>
      </c>
      <c r="K47" s="11" t="n">
        <f aca="false">ROUND(G47*(1+$D$2)/F47*(1+$D$3),2)</f>
        <v>26.22</v>
      </c>
      <c r="L47" s="12"/>
    </row>
    <row r="48" customFormat="false" ht="15" hidden="false" customHeight="false" outlineLevel="0" collapsed="false">
      <c r="A48" s="6" t="n">
        <v>43</v>
      </c>
      <c r="B48" s="7" t="s">
        <v>110</v>
      </c>
      <c r="C48" s="6" t="s">
        <v>17</v>
      </c>
      <c r="D48" s="6" t="s">
        <v>97</v>
      </c>
      <c r="E48" s="8" t="s">
        <v>111</v>
      </c>
      <c r="F48" s="9" t="n">
        <v>12</v>
      </c>
      <c r="G48" s="10" t="n">
        <v>240</v>
      </c>
      <c r="H48" s="11" t="n">
        <f aca="false">ROUND(G48/F48,2)</f>
        <v>20</v>
      </c>
      <c r="I48" s="11" t="n">
        <f aca="false">ROUND(G48*(1+$D$2),2)</f>
        <v>273.6</v>
      </c>
      <c r="J48" s="11" t="n">
        <f aca="false">ROUND(G48*(1+$D$2)/F48,2)</f>
        <v>22.8</v>
      </c>
      <c r="K48" s="11" t="n">
        <f aca="false">ROUND(G48*(1+$D$2)/F48*(1+$D$3),2)</f>
        <v>26.22</v>
      </c>
      <c r="L48" s="12"/>
    </row>
    <row r="49" customFormat="false" ht="15" hidden="false" customHeight="false" outlineLevel="0" collapsed="false">
      <c r="A49" s="6" t="n">
        <v>44</v>
      </c>
      <c r="B49" s="7" t="s">
        <v>112</v>
      </c>
      <c r="C49" s="6" t="s">
        <v>17</v>
      </c>
      <c r="D49" s="6" t="s">
        <v>97</v>
      </c>
      <c r="E49" s="8" t="s">
        <v>113</v>
      </c>
      <c r="F49" s="9" t="n">
        <v>12</v>
      </c>
      <c r="G49" s="10" t="n">
        <v>240</v>
      </c>
      <c r="H49" s="11" t="n">
        <f aca="false">ROUND(G49/F49,2)</f>
        <v>20</v>
      </c>
      <c r="I49" s="11" t="n">
        <f aca="false">ROUND(G49*(1+$D$2),2)</f>
        <v>273.6</v>
      </c>
      <c r="J49" s="11" t="n">
        <f aca="false">ROUND(G49*(1+$D$2)/F49,2)</f>
        <v>22.8</v>
      </c>
      <c r="K49" s="11" t="n">
        <f aca="false">ROUND(G49*(1+$D$2)/F49*(1+$D$3),2)</f>
        <v>26.22</v>
      </c>
      <c r="L49" s="12"/>
    </row>
    <row r="50" customFormat="false" ht="15" hidden="false" customHeight="false" outlineLevel="0" collapsed="false">
      <c r="A50" s="6" t="n">
        <v>45</v>
      </c>
      <c r="B50" s="7" t="s">
        <v>114</v>
      </c>
      <c r="C50" s="6" t="s">
        <v>17</v>
      </c>
      <c r="D50" s="6" t="s">
        <v>115</v>
      </c>
      <c r="E50" s="8" t="s">
        <v>116</v>
      </c>
      <c r="F50" s="9" t="n">
        <v>24</v>
      </c>
      <c r="G50" s="10" t="n">
        <v>850</v>
      </c>
      <c r="H50" s="11" t="n">
        <f aca="false">ROUND(G50/F50,2)</f>
        <v>35.42</v>
      </c>
      <c r="I50" s="11" t="n">
        <f aca="false">ROUND(G50*(1+$D$2),2)</f>
        <v>969</v>
      </c>
      <c r="J50" s="11" t="n">
        <f aca="false">ROUND(G50*(1+$D$2)/F50,2)</f>
        <v>40.38</v>
      </c>
      <c r="K50" s="11" t="n">
        <f aca="false">ROUND(G50*(1+$D$2)/F50*(1+$D$3),2)</f>
        <v>46.43</v>
      </c>
      <c r="L50" s="12"/>
    </row>
    <row r="51" customFormat="false" ht="15" hidden="false" customHeight="false" outlineLevel="0" collapsed="false">
      <c r="A51" s="6" t="n">
        <v>46</v>
      </c>
      <c r="B51" s="7" t="s">
        <v>117</v>
      </c>
      <c r="C51" s="6" t="s">
        <v>17</v>
      </c>
      <c r="D51" s="6" t="s">
        <v>115</v>
      </c>
      <c r="E51" s="8" t="s">
        <v>118</v>
      </c>
      <c r="F51" s="9" t="n">
        <v>18</v>
      </c>
      <c r="G51" s="10" t="n">
        <v>1475</v>
      </c>
      <c r="H51" s="11" t="n">
        <f aca="false">ROUND(G51/F51,2)</f>
        <v>81.94</v>
      </c>
      <c r="I51" s="11" t="n">
        <f aca="false">ROUND(G51*(1+$D$2),2)</f>
        <v>1681.5</v>
      </c>
      <c r="J51" s="11" t="n">
        <f aca="false">ROUND(G51*(1+$D$2)/F51,2)</f>
        <v>93.42</v>
      </c>
      <c r="K51" s="11" t="n">
        <f aca="false">ROUND(G51*(1+$D$2)/F51*(1+$D$3),2)</f>
        <v>107.43</v>
      </c>
      <c r="L51" s="12"/>
    </row>
    <row r="52" customFormat="false" ht="15" hidden="false" customHeight="false" outlineLevel="0" collapsed="false">
      <c r="A52" s="6" t="n">
        <v>47</v>
      </c>
      <c r="B52" s="7" t="s">
        <v>119</v>
      </c>
      <c r="C52" s="6" t="s">
        <v>17</v>
      </c>
      <c r="D52" s="6" t="s">
        <v>115</v>
      </c>
      <c r="E52" s="8" t="s">
        <v>120</v>
      </c>
      <c r="F52" s="9" t="n">
        <v>20</v>
      </c>
      <c r="G52" s="10" t="n">
        <v>1200</v>
      </c>
      <c r="H52" s="11" t="n">
        <f aca="false">ROUND(G52/F52,2)</f>
        <v>60</v>
      </c>
      <c r="I52" s="11" t="n">
        <f aca="false">ROUND(G52*(1+$D$2),2)</f>
        <v>1368</v>
      </c>
      <c r="J52" s="11" t="n">
        <f aca="false">ROUND(G52*(1+$D$2)/F52,2)</f>
        <v>68.4</v>
      </c>
      <c r="K52" s="11" t="n">
        <f aca="false">ROUND(G52*(1+$D$2)/F52*(1+$D$3),2)</f>
        <v>78.66</v>
      </c>
      <c r="L52" s="12"/>
    </row>
    <row r="53" customFormat="false" ht="15" hidden="false" customHeight="false" outlineLevel="0" collapsed="false">
      <c r="A53" s="6" t="n">
        <v>48</v>
      </c>
      <c r="B53" s="7" t="s">
        <v>121</v>
      </c>
      <c r="C53" s="6" t="s">
        <v>36</v>
      </c>
      <c r="D53" s="6" t="s">
        <v>18</v>
      </c>
      <c r="E53" s="8" t="s">
        <v>122</v>
      </c>
      <c r="F53" s="9" t="n">
        <v>12</v>
      </c>
      <c r="G53" s="10" t="n">
        <v>360</v>
      </c>
      <c r="H53" s="11" t="n">
        <f aca="false">ROUND(G53/F53,2)</f>
        <v>30</v>
      </c>
      <c r="I53" s="11" t="n">
        <f aca="false">ROUND(G53*(1+$D$2),2)</f>
        <v>410.4</v>
      </c>
      <c r="J53" s="11" t="n">
        <f aca="false">ROUND(G53*(1+$D$2)/F53,2)</f>
        <v>34.2</v>
      </c>
      <c r="K53" s="11" t="n">
        <f aca="false">ROUND(G53*(1+$D$2)/F53*(1+$D$3),2)</f>
        <v>39.33</v>
      </c>
      <c r="L53" s="12"/>
    </row>
    <row r="54" customFormat="false" ht="15" hidden="false" customHeight="false" outlineLevel="0" collapsed="false">
      <c r="A54" s="6" t="n">
        <v>49</v>
      </c>
      <c r="B54" s="7" t="s">
        <v>123</v>
      </c>
      <c r="C54" s="6" t="s">
        <v>36</v>
      </c>
      <c r="D54" s="6" t="s">
        <v>18</v>
      </c>
      <c r="E54" s="8" t="s">
        <v>124</v>
      </c>
      <c r="F54" s="9" t="n">
        <v>12</v>
      </c>
      <c r="G54" s="10" t="n">
        <v>360</v>
      </c>
      <c r="H54" s="11" t="n">
        <f aca="false">ROUND(G54/F54,2)</f>
        <v>30</v>
      </c>
      <c r="I54" s="11" t="n">
        <f aca="false">ROUND(G54*(1+$D$2),2)</f>
        <v>410.4</v>
      </c>
      <c r="J54" s="11" t="n">
        <f aca="false">ROUND(G54*(1+$D$2)/F54,2)</f>
        <v>34.2</v>
      </c>
      <c r="K54" s="11" t="n">
        <f aca="false">ROUND(G54*(1+$D$2)/F54*(1+$D$3),2)</f>
        <v>39.33</v>
      </c>
      <c r="L54" s="12"/>
    </row>
    <row r="55" customFormat="false" ht="15" hidden="false" customHeight="false" outlineLevel="0" collapsed="false">
      <c r="A55" s="6" t="n">
        <v>50</v>
      </c>
      <c r="B55" s="7" t="s">
        <v>125</v>
      </c>
      <c r="C55" s="6" t="s">
        <v>36</v>
      </c>
      <c r="D55" s="6" t="s">
        <v>18</v>
      </c>
      <c r="E55" s="8" t="s">
        <v>126</v>
      </c>
      <c r="F55" s="9" t="n">
        <v>12</v>
      </c>
      <c r="G55" s="10" t="n">
        <v>360</v>
      </c>
      <c r="H55" s="11" t="n">
        <f aca="false">ROUND(G55/F55,2)</f>
        <v>30</v>
      </c>
      <c r="I55" s="11" t="n">
        <f aca="false">ROUND(G55*(1+$D$2),2)</f>
        <v>410.4</v>
      </c>
      <c r="J55" s="11" t="n">
        <f aca="false">ROUND(G55*(1+$D$2)/F55,2)</f>
        <v>34.2</v>
      </c>
      <c r="K55" s="11" t="n">
        <f aca="false">ROUND(G55*(1+$D$2)/F55*(1+$D$3),2)</f>
        <v>39.33</v>
      </c>
      <c r="L55" s="12"/>
    </row>
    <row r="56" customFormat="false" ht="15" hidden="false" customHeight="false" outlineLevel="0" collapsed="false">
      <c r="A56" s="6" t="n">
        <v>51</v>
      </c>
      <c r="B56" s="7" t="s">
        <v>127</v>
      </c>
      <c r="C56" s="6" t="s">
        <v>36</v>
      </c>
      <c r="D56" s="6" t="s">
        <v>18</v>
      </c>
      <c r="E56" s="8" t="s">
        <v>128</v>
      </c>
      <c r="F56" s="9" t="n">
        <v>12</v>
      </c>
      <c r="G56" s="10" t="n">
        <v>360</v>
      </c>
      <c r="H56" s="11" t="n">
        <f aca="false">ROUND(G56/F56,2)</f>
        <v>30</v>
      </c>
      <c r="I56" s="11" t="n">
        <f aca="false">ROUND(G56*(1+$D$2),2)</f>
        <v>410.4</v>
      </c>
      <c r="J56" s="11" t="n">
        <f aca="false">ROUND(G56*(1+$D$2)/F56,2)</f>
        <v>34.2</v>
      </c>
      <c r="K56" s="11" t="n">
        <f aca="false">ROUND(G56*(1+$D$2)/F56*(1+$D$3),2)</f>
        <v>39.33</v>
      </c>
      <c r="L56" s="12"/>
    </row>
    <row r="57" customFormat="false" ht="15" hidden="false" customHeight="false" outlineLevel="0" collapsed="false">
      <c r="A57" s="6" t="n">
        <v>52</v>
      </c>
      <c r="B57" s="7" t="s">
        <v>129</v>
      </c>
      <c r="C57" s="6" t="s">
        <v>36</v>
      </c>
      <c r="D57" s="6" t="s">
        <v>18</v>
      </c>
      <c r="E57" s="8" t="s">
        <v>130</v>
      </c>
      <c r="F57" s="9" t="n">
        <v>12</v>
      </c>
      <c r="G57" s="10" t="n">
        <v>360</v>
      </c>
      <c r="H57" s="11" t="n">
        <f aca="false">ROUND(G57/F57,2)</f>
        <v>30</v>
      </c>
      <c r="I57" s="11" t="n">
        <f aca="false">ROUND(G57*(1+$D$2),2)</f>
        <v>410.4</v>
      </c>
      <c r="J57" s="11" t="n">
        <f aca="false">ROUND(G57*(1+$D$2)/F57,2)</f>
        <v>34.2</v>
      </c>
      <c r="K57" s="11" t="n">
        <f aca="false">ROUND(G57*(1+$D$2)/F57*(1+$D$3),2)</f>
        <v>39.33</v>
      </c>
      <c r="L57" s="12"/>
    </row>
    <row r="58" customFormat="false" ht="15" hidden="false" customHeight="false" outlineLevel="0" collapsed="false">
      <c r="A58" s="6" t="n">
        <v>53</v>
      </c>
      <c r="B58" s="7" t="s">
        <v>131</v>
      </c>
      <c r="C58" s="6" t="s">
        <v>36</v>
      </c>
      <c r="D58" s="6" t="s">
        <v>18</v>
      </c>
      <c r="E58" s="8" t="s">
        <v>132</v>
      </c>
      <c r="F58" s="9" t="n">
        <v>24</v>
      </c>
      <c r="G58" s="10" t="n">
        <v>552</v>
      </c>
      <c r="H58" s="11" t="n">
        <f aca="false">ROUND(G58/F58,2)</f>
        <v>23</v>
      </c>
      <c r="I58" s="11" t="n">
        <f aca="false">ROUND(G58*(1+$D$2),2)</f>
        <v>629.28</v>
      </c>
      <c r="J58" s="11" t="n">
        <f aca="false">ROUND(G58*(1+$D$2)/F58,2)</f>
        <v>26.22</v>
      </c>
      <c r="K58" s="11" t="n">
        <f aca="false">ROUND(G58*(1+$D$2)/F58*(1+$D$3),2)</f>
        <v>30.15</v>
      </c>
      <c r="L58" s="12"/>
    </row>
    <row r="59" customFormat="false" ht="15" hidden="false" customHeight="false" outlineLevel="0" collapsed="false">
      <c r="A59" s="6" t="n">
        <v>54</v>
      </c>
      <c r="B59" s="7" t="s">
        <v>133</v>
      </c>
      <c r="C59" s="6" t="s">
        <v>36</v>
      </c>
      <c r="D59" s="6" t="s">
        <v>18</v>
      </c>
      <c r="E59" s="8" t="s">
        <v>134</v>
      </c>
      <c r="F59" s="9" t="n">
        <v>24</v>
      </c>
      <c r="G59" s="10" t="n">
        <v>552</v>
      </c>
      <c r="H59" s="11" t="n">
        <f aca="false">ROUND(G59/F59,2)</f>
        <v>23</v>
      </c>
      <c r="I59" s="11" t="n">
        <f aca="false">ROUND(G59*(1+$D$2),2)</f>
        <v>629.28</v>
      </c>
      <c r="J59" s="11" t="n">
        <f aca="false">ROUND(G59*(1+$D$2)/F59,2)</f>
        <v>26.22</v>
      </c>
      <c r="K59" s="11" t="n">
        <f aca="false">ROUND(G59*(1+$D$2)/F59*(1+$D$3),2)</f>
        <v>30.15</v>
      </c>
      <c r="L59" s="12"/>
    </row>
    <row r="60" customFormat="false" ht="15" hidden="false" customHeight="false" outlineLevel="0" collapsed="false">
      <c r="A60" s="6" t="n">
        <v>55</v>
      </c>
      <c r="B60" s="7" t="s">
        <v>135</v>
      </c>
      <c r="C60" s="6" t="s">
        <v>36</v>
      </c>
      <c r="D60" s="6" t="s">
        <v>18</v>
      </c>
      <c r="E60" s="8" t="s">
        <v>136</v>
      </c>
      <c r="F60" s="9" t="n">
        <v>24</v>
      </c>
      <c r="G60" s="10" t="n">
        <v>552</v>
      </c>
      <c r="H60" s="11" t="n">
        <f aca="false">ROUND(G60/F60,2)</f>
        <v>23</v>
      </c>
      <c r="I60" s="11" t="n">
        <f aca="false">ROUND(G60*(1+$D$2),2)</f>
        <v>629.28</v>
      </c>
      <c r="J60" s="11" t="n">
        <f aca="false">ROUND(G60*(1+$D$2)/F60,2)</f>
        <v>26.22</v>
      </c>
      <c r="K60" s="11" t="n">
        <f aca="false">ROUND(G60*(1+$D$2)/F60*(1+$D$3),2)</f>
        <v>30.15</v>
      </c>
      <c r="L60" s="12"/>
    </row>
    <row r="61" customFormat="false" ht="15" hidden="false" customHeight="false" outlineLevel="0" collapsed="false">
      <c r="A61" s="6" t="n">
        <v>56</v>
      </c>
      <c r="B61" s="7" t="s">
        <v>137</v>
      </c>
      <c r="C61" s="6" t="s">
        <v>17</v>
      </c>
      <c r="D61" s="6" t="s">
        <v>18</v>
      </c>
      <c r="E61" s="8" t="s">
        <v>138</v>
      </c>
      <c r="F61" s="9" t="n">
        <v>24</v>
      </c>
      <c r="G61" s="10" t="n">
        <v>552</v>
      </c>
      <c r="H61" s="11" t="n">
        <f aca="false">ROUND(G61/F61,2)</f>
        <v>23</v>
      </c>
      <c r="I61" s="11" t="n">
        <f aca="false">ROUND(G61*(1+$D$2),2)</f>
        <v>629.28</v>
      </c>
      <c r="J61" s="11" t="n">
        <f aca="false">ROUND(G61*(1+$D$2)/F61,2)</f>
        <v>26.22</v>
      </c>
      <c r="K61" s="11" t="n">
        <f aca="false">ROUND(G61*(1+$D$2)/F61*(1+$D$3),2)</f>
        <v>30.15</v>
      </c>
      <c r="L61" s="12"/>
    </row>
    <row r="62" customFormat="false" ht="15" hidden="false" customHeight="false" outlineLevel="0" collapsed="false">
      <c r="A62" s="6" t="n">
        <v>57</v>
      </c>
      <c r="B62" s="7" t="s">
        <v>139</v>
      </c>
      <c r="C62" s="6" t="s">
        <v>36</v>
      </c>
      <c r="D62" s="6" t="s">
        <v>18</v>
      </c>
      <c r="E62" s="8" t="s">
        <v>140</v>
      </c>
      <c r="F62" s="9" t="n">
        <v>36</v>
      </c>
      <c r="G62" s="10" t="n">
        <v>450</v>
      </c>
      <c r="H62" s="11" t="n">
        <f aca="false">ROUND(G62/F62,2)</f>
        <v>12.5</v>
      </c>
      <c r="I62" s="11" t="n">
        <f aca="false">ROUND(G62*(1+$D$2),2)</f>
        <v>513</v>
      </c>
      <c r="J62" s="11" t="n">
        <f aca="false">ROUND(G62*(1+$D$2)/F62,2)</f>
        <v>14.25</v>
      </c>
      <c r="K62" s="11" t="n">
        <f aca="false">ROUND(G62*(1+$D$2)/F62*(1+$D$3),2)</f>
        <v>16.39</v>
      </c>
      <c r="L62" s="12"/>
    </row>
    <row r="63" customFormat="false" ht="15" hidden="false" customHeight="false" outlineLevel="0" collapsed="false">
      <c r="A63" s="6" t="n">
        <v>58</v>
      </c>
      <c r="B63" s="7" t="s">
        <v>141</v>
      </c>
      <c r="C63" s="6" t="s">
        <v>36</v>
      </c>
      <c r="D63" s="6" t="s">
        <v>67</v>
      </c>
      <c r="E63" s="8" t="s">
        <v>142</v>
      </c>
      <c r="F63" s="9" t="n">
        <v>288</v>
      </c>
      <c r="G63" s="10" t="n">
        <v>1050</v>
      </c>
      <c r="H63" s="11" t="n">
        <f aca="false">ROUND(G63/F63,2)</f>
        <v>3.65</v>
      </c>
      <c r="I63" s="11" t="n">
        <f aca="false">ROUND(G63*(1+$D$2),2)</f>
        <v>1197</v>
      </c>
      <c r="J63" s="11" t="n">
        <f aca="false">ROUND(G63*(1+$D$2)/F63,2)</f>
        <v>4.16</v>
      </c>
      <c r="K63" s="11" t="n">
        <f aca="false">ROUND(G63*(1+$D$2)/F63*(1+$D$3),2)</f>
        <v>4.78</v>
      </c>
      <c r="L63" s="12"/>
    </row>
    <row r="64" customFormat="false" ht="15" hidden="false" customHeight="false" outlineLevel="0" collapsed="false">
      <c r="A64" s="6" t="n">
        <v>59</v>
      </c>
      <c r="B64" s="7" t="s">
        <v>143</v>
      </c>
      <c r="C64" s="6" t="s">
        <v>17</v>
      </c>
      <c r="D64" s="6" t="s">
        <v>144</v>
      </c>
      <c r="E64" s="8" t="s">
        <v>145</v>
      </c>
      <c r="F64" s="9" t="n">
        <v>500</v>
      </c>
      <c r="G64" s="10" t="n">
        <v>850</v>
      </c>
      <c r="H64" s="11" t="n">
        <f aca="false">ROUND(G64/F64,2)</f>
        <v>1.7</v>
      </c>
      <c r="I64" s="11" t="n">
        <f aca="false">ROUND(G64*(1+$D$2),2)</f>
        <v>969</v>
      </c>
      <c r="J64" s="11" t="n">
        <f aca="false">ROUND(G64*(1+$D$2)/F64,2)</f>
        <v>1.94</v>
      </c>
      <c r="K64" s="11" t="n">
        <f aca="false">ROUND(G64*(1+$D$2)/F64*(1+$D$3),2)</f>
        <v>2.23</v>
      </c>
      <c r="L64" s="12"/>
    </row>
    <row r="65" customFormat="false" ht="15" hidden="false" customHeight="false" outlineLevel="0" collapsed="false">
      <c r="A65" s="6" t="n">
        <v>60</v>
      </c>
      <c r="B65" s="7" t="s">
        <v>146</v>
      </c>
      <c r="C65" s="6" t="s">
        <v>17</v>
      </c>
      <c r="D65" s="6" t="s">
        <v>147</v>
      </c>
      <c r="E65" s="8" t="s">
        <v>148</v>
      </c>
      <c r="F65" s="9" t="n">
        <v>576</v>
      </c>
      <c r="G65" s="10" t="n">
        <v>1175</v>
      </c>
      <c r="H65" s="11" t="n">
        <f aca="false">ROUND(G65/F65,2)</f>
        <v>2.04</v>
      </c>
      <c r="I65" s="11" t="n">
        <f aca="false">ROUND(G65*(1+$D$2),2)</f>
        <v>1339.5</v>
      </c>
      <c r="J65" s="11" t="n">
        <f aca="false">ROUND(G65*(1+$D$2)/F65,2)</f>
        <v>2.33</v>
      </c>
      <c r="K65" s="11" t="n">
        <f aca="false">ROUND(G65*(1+$D$2)/F65*(1+$D$3),2)</f>
        <v>2.67</v>
      </c>
      <c r="L65" s="12"/>
    </row>
    <row r="66" customFormat="false" ht="15" hidden="false" customHeight="false" outlineLevel="0" collapsed="false">
      <c r="A66" s="6" t="n">
        <v>61</v>
      </c>
      <c r="B66" s="7" t="s">
        <v>149</v>
      </c>
      <c r="C66" s="6" t="s">
        <v>17</v>
      </c>
      <c r="D66" s="6" t="s">
        <v>147</v>
      </c>
      <c r="E66" s="8" t="s">
        <v>150</v>
      </c>
      <c r="F66" s="9" t="n">
        <v>24</v>
      </c>
      <c r="G66" s="10" t="n">
        <v>1025</v>
      </c>
      <c r="H66" s="11" t="n">
        <f aca="false">ROUND(G66/F66,2)</f>
        <v>42.71</v>
      </c>
      <c r="I66" s="11" t="n">
        <f aca="false">ROUND(G66*(1+$D$2),2)</f>
        <v>1168.5</v>
      </c>
      <c r="J66" s="11" t="n">
        <f aca="false">ROUND(G66*(1+$D$2)/F66,2)</f>
        <v>48.69</v>
      </c>
      <c r="K66" s="11" t="n">
        <f aca="false">ROUND(G66*(1+$D$2)/F66*(1+$D$3),2)</f>
        <v>55.99</v>
      </c>
      <c r="L66" s="12"/>
    </row>
    <row r="67" customFormat="false" ht="15" hidden="false" customHeight="false" outlineLevel="0" collapsed="false">
      <c r="A67" s="6" t="n">
        <v>62</v>
      </c>
      <c r="B67" s="7" t="s">
        <v>151</v>
      </c>
      <c r="C67" s="6" t="s">
        <v>36</v>
      </c>
      <c r="D67" s="6" t="s">
        <v>152</v>
      </c>
      <c r="E67" s="8" t="s">
        <v>153</v>
      </c>
      <c r="F67" s="9" t="n">
        <v>12</v>
      </c>
      <c r="G67" s="10" t="n">
        <v>350</v>
      </c>
      <c r="H67" s="11" t="n">
        <f aca="false">ROUND(G67/F67,2)</f>
        <v>29.17</v>
      </c>
      <c r="I67" s="11" t="n">
        <f aca="false">ROUND(G67*(1+$D$2),2)</f>
        <v>399</v>
      </c>
      <c r="J67" s="11" t="n">
        <f aca="false">ROUND(G67*(1+$D$2)/F67,2)</f>
        <v>33.25</v>
      </c>
      <c r="K67" s="11" t="n">
        <f aca="false">ROUND(G67*(1+$D$2)/F67*(1+$D$3),2)</f>
        <v>38.24</v>
      </c>
      <c r="L67" s="12"/>
    </row>
  </sheetData>
  <autoFilter ref="A5:L67"/>
  <mergeCells count="4">
    <mergeCell ref="A1:L1"/>
    <mergeCell ref="A2:C2"/>
    <mergeCell ref="E2:L2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2026-10-11T09:07:49Z</dcterms:created>
  <dc:creator>openpyxl</dc:creator>
  <dc:description/>
  <dc:language>en-US</dc:language>
  <cp:lastModifiedBy/>
  <dcterms:modified xsi:type="dcterms:W3CDTF">2026-10-11T09:07:49Z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